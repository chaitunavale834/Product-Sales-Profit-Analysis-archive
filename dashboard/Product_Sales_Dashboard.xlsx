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ed_Data" sheetId="3" state="visible" r:id="rId3"/>
    <sheet xmlns:r="http://schemas.openxmlformats.org/officeDocument/2006/relationships" name="Product_Analysis" sheetId="4" state="visible" r:id="rId4"/>
    <sheet xmlns:r="http://schemas.openxmlformats.org/officeDocument/2006/relationships" name="Category_Analysis" sheetId="5" state="visible" r:id="rId5"/>
    <sheet xmlns:r="http://schemas.openxmlformats.org/officeDocument/2006/relationships" name="Monthly_Analysis" sheetId="6" state="visible" r:id="rId6"/>
    <sheet xmlns:r="http://schemas.openxmlformats.org/officeDocument/2006/relationships" name="Region_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INR #,##0.00"/>
  </numFmts>
  <fonts count="1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0"/>
    </font>
    <font>
      <name val="Segoe UI"/>
      <b val="1"/>
      <color rgb="00666666"/>
      <sz val="9"/>
    </font>
    <font>
      <name val="Segoe UI"/>
      <b val="1"/>
      <color rgb="001B365D"/>
      <sz val="16"/>
    </font>
    <font>
      <name val="Segoe UI"/>
      <b val="1"/>
      <color rgb="001B365D"/>
      <sz val="11"/>
    </font>
    <font>
      <name val="Segoe UI"/>
      <b val="1"/>
      <color rgb="00FFFFFF"/>
      <sz val="10"/>
    </font>
    <font>
      <name val="Segoe UI"/>
      <b val="1"/>
      <sz val="9"/>
    </font>
    <font>
      <name val="Segoe UI"/>
      <sz val="9"/>
    </font>
    <font>
      <name val="Segoe UI"/>
      <b val="1"/>
      <color rgb="001B365D"/>
      <sz val="10"/>
    </font>
    <font>
      <name val="Segoe UI"/>
      <i val="1"/>
      <color rgb="00444444"/>
      <sz val="8.5"/>
    </font>
  </fonts>
  <fills count="7">
    <fill>
      <patternFill/>
    </fill>
    <fill>
      <patternFill patternType="gray125"/>
    </fill>
    <fill>
      <patternFill patternType="solid">
        <fgColor rgb="00E9ECEF"/>
        <bgColor rgb="00E9ECEF"/>
      </patternFill>
    </fill>
    <fill>
      <patternFill patternType="solid">
        <fgColor rgb="00F0F4F8"/>
        <bgColor rgb="00F0F4F8"/>
      </patternFill>
    </fill>
    <fill>
      <patternFill patternType="solid">
        <fgColor rgb="002A5C9A"/>
        <bgColor rgb="002A5C9A"/>
      </patternFill>
    </fill>
    <fill>
      <patternFill patternType="solid">
        <fgColor rgb="00555555"/>
        <bgColor rgb="00555555"/>
      </patternFill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10" fontId="4" fillId="3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0" borderId="1" pivotButton="0" quotePrefix="0" xfId="0"/>
    <xf numFmtId="0" fontId="8" fillId="0" borderId="1" pivotButton="0" quotePrefix="0" xfId="0"/>
    <xf numFmtId="4" fontId="8" fillId="0" borderId="1" pivotButton="0" quotePrefix="0" xfId="0"/>
    <xf numFmtId="10" fontId="8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6" fillId="5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Revenue &amp; Net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'Dashboard'!$A$10:$A$13</f>
            </numRef>
          </cat>
          <val>
            <numRef>
              <f>'Dashboard'!$D$10:$D$13</f>
            </numRef>
          </val>
        </ser>
        <ser>
          <idx val="1"/>
          <order val="1"/>
          <tx>
            <strRef>
              <f>'Dashboard'!E9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'Dashboard'!$A$10:$A$13</f>
            </numRef>
          </cat>
          <val>
            <numRef>
              <f>'Dashboard'!$E$10:$E$13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Regional Sales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'Dashboard'!$A$18:$A$22</f>
            </numRef>
          </cat>
          <val>
            <numRef>
              <f>'Dashboard'!$D$18:$D$22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1" workbookViewId="0">
      <selection activeCell="A1" sqref="A1"/>
    </sheetView>
  </sheetViews>
  <sheetFormatPr baseColWidth="8" defaultRowHeight="15"/>
  <cols>
    <col width="130" customWidth="1" min="1" max="1"/>
    <col width="13" customWidth="1" min="2" max="2"/>
    <col width="29" customWidth="1" min="3" max="3"/>
    <col width="21" customWidth="1" min="4" max="4"/>
    <col width="29" customWidth="1" min="5" max="5"/>
    <col width="22" customWidth="1" min="6" max="6"/>
    <col width="16" customWidth="1" min="7" max="7"/>
    <col width="13" customWidth="1" min="8" max="8"/>
    <col width="29" customWidth="1" min="9" max="9"/>
    <col width="13" customWidth="1" min="10" max="10"/>
    <col width="32" customWidth="1" min="11" max="11"/>
    <col width="13" customWidth="1" min="12" max="12"/>
  </cols>
  <sheetData>
    <row r="1" ht="32" customHeight="1">
      <c r="A1" s="1" t="inlineStr">
        <is>
          <t>PRODUCT SALES AND PROFIT PERFORMANCE DASHBOARD</t>
        </is>
      </c>
    </row>
    <row r="2" ht="18" customHeight="1">
      <c r="A2" s="2" t="inlineStr">
        <is>
          <t>B.Sc. Data Science Project | Real-time Business Metrics, Group Summaries &amp; Visual Trends</t>
        </is>
      </c>
    </row>
    <row r="3"/>
    <row r="4" ht="20" customHeight="1">
      <c r="A4" s="3" t="inlineStr">
        <is>
          <t>TOTAL REVENUE</t>
        </is>
      </c>
      <c r="C4" s="3" t="inlineStr">
        <is>
          <t>TOTAL COST</t>
        </is>
      </c>
      <c r="E4" s="3" t="inlineStr">
        <is>
          <t>TOTAL PROFIT</t>
        </is>
      </c>
      <c r="G4" s="3" t="inlineStr">
        <is>
          <t>PROFIT MARGIN</t>
        </is>
      </c>
      <c r="I4" s="3" t="inlineStr">
        <is>
          <t>TOTAL UNITS SOLD</t>
        </is>
      </c>
      <c r="K4" s="3" t="inlineStr">
        <is>
          <t>TOTAL ORDERS</t>
        </is>
      </c>
    </row>
    <row r="5" ht="30" customHeight="1">
      <c r="A5" s="4">
        <f>SUM(Cleaned_Data!J2:J301)</f>
        <v/>
      </c>
      <c r="C5" s="4">
        <f>SUM(Cleaned_Data!K2:K301)</f>
        <v/>
      </c>
      <c r="E5" s="4">
        <f>SUM(Cleaned_Data!L2:L301)</f>
        <v/>
      </c>
      <c r="G5" s="5">
        <f>(E5/A5)</f>
        <v/>
      </c>
      <c r="I5" s="6">
        <f>SUM(Cleaned_Data!G2:G301)</f>
        <v/>
      </c>
      <c r="K5" s="6">
        <f>COUNTA(Cleaned_Data!A2:A301)</f>
        <v/>
      </c>
    </row>
    <row r="6"/>
    <row r="7"/>
    <row r="8">
      <c r="A8" s="7" t="inlineStr">
        <is>
          <t>CATEGORY-WISE PERFORMANCE SUMMARY</t>
        </is>
      </c>
    </row>
    <row r="9">
      <c r="A9" s="8" t="inlineStr">
        <is>
          <t>Category</t>
        </is>
      </c>
      <c r="B9" s="8" t="inlineStr">
        <is>
          <t>Orders</t>
        </is>
      </c>
      <c r="C9" s="8" t="inlineStr">
        <is>
          <t>Units Sold</t>
        </is>
      </c>
      <c r="D9" s="8" t="inlineStr">
        <is>
          <t>Revenue (INR)</t>
        </is>
      </c>
      <c r="E9" s="8" t="inlineStr">
        <is>
          <t>Profit (INR)</t>
        </is>
      </c>
      <c r="F9" s="8" t="inlineStr">
        <is>
          <t>Profit Margin %</t>
        </is>
      </c>
    </row>
    <row r="10">
      <c r="A10" s="9" t="inlineStr">
        <is>
          <t>Electronics</t>
        </is>
      </c>
      <c r="B10" s="10" t="n">
        <v>86</v>
      </c>
      <c r="C10" s="10" t="n">
        <v>275</v>
      </c>
      <c r="D10" s="11" t="n">
        <v>3108427.13</v>
      </c>
      <c r="E10" s="11" t="n">
        <v>667267.13</v>
      </c>
      <c r="F10" s="12" t="n">
        <v>0.2147</v>
      </c>
    </row>
    <row r="11">
      <c r="A11" s="9" t="inlineStr">
        <is>
          <t>Furniture</t>
        </is>
      </c>
      <c r="B11" s="10" t="n">
        <v>95</v>
      </c>
      <c r="C11" s="10" t="n">
        <v>282</v>
      </c>
      <c r="D11" s="11" t="n">
        <v>2299235.76</v>
      </c>
      <c r="E11" s="11" t="n">
        <v>730135.76</v>
      </c>
      <c r="F11" s="12" t="n">
        <v>0.3176</v>
      </c>
    </row>
    <row r="12">
      <c r="A12" s="9" t="inlineStr">
        <is>
          <t>Accessories</t>
        </is>
      </c>
      <c r="B12" s="10" t="n">
        <v>59</v>
      </c>
      <c r="C12" s="10" t="n">
        <v>445</v>
      </c>
      <c r="D12" s="11" t="n">
        <v>844817.4399999999</v>
      </c>
      <c r="E12" s="11" t="n">
        <v>367777.44</v>
      </c>
      <c r="F12" s="12" t="n">
        <v>0.4353</v>
      </c>
    </row>
    <row r="13">
      <c r="A13" s="9" t="inlineStr">
        <is>
          <t>Office Supplies</t>
        </is>
      </c>
      <c r="B13" s="10" t="n">
        <v>60</v>
      </c>
      <c r="C13" s="10" t="n">
        <v>434</v>
      </c>
      <c r="D13" s="11" t="n">
        <v>156733.6</v>
      </c>
      <c r="E13" s="11" t="n">
        <v>71303.60000000001</v>
      </c>
      <c r="F13" s="12" t="n">
        <v>0.4549</v>
      </c>
    </row>
    <row r="14"/>
    <row r="15"/>
    <row r="16">
      <c r="A16" s="7" t="inlineStr">
        <is>
          <t>REGIONAL PERFORMANCE SUMMARY</t>
        </is>
      </c>
    </row>
    <row r="17">
      <c r="A17" s="8" t="inlineStr">
        <is>
          <t>Region</t>
        </is>
      </c>
      <c r="B17" s="8" t="inlineStr">
        <is>
          <t>Orders</t>
        </is>
      </c>
      <c r="C17" s="8" t="inlineStr">
        <is>
          <t>Units Sold</t>
        </is>
      </c>
      <c r="D17" s="8" t="inlineStr">
        <is>
          <t>Revenue (INR)</t>
        </is>
      </c>
      <c r="E17" s="8" t="inlineStr">
        <is>
          <t>Profit (INR)</t>
        </is>
      </c>
      <c r="F17" s="8" t="inlineStr">
        <is>
          <t>Profit Margin %</t>
        </is>
      </c>
    </row>
    <row r="18">
      <c r="A18" s="9" t="inlineStr">
        <is>
          <t>North</t>
        </is>
      </c>
      <c r="B18" s="10" t="n">
        <v>88</v>
      </c>
      <c r="C18" s="10" t="n">
        <v>431</v>
      </c>
      <c r="D18" s="11" t="n">
        <v>1962170.62</v>
      </c>
      <c r="E18" s="11" t="n">
        <v>525680.62</v>
      </c>
      <c r="F18" s="12" t="n">
        <v>0.2679</v>
      </c>
    </row>
    <row r="19">
      <c r="A19" s="9" t="inlineStr">
        <is>
          <t>South</t>
        </is>
      </c>
      <c r="B19" s="10" t="n">
        <v>73</v>
      </c>
      <c r="C19" s="10" t="n">
        <v>382</v>
      </c>
      <c r="D19" s="11" t="n">
        <v>1508393.71</v>
      </c>
      <c r="E19" s="11" t="n">
        <v>458583.71</v>
      </c>
      <c r="F19" s="12" t="n">
        <v>0.304</v>
      </c>
    </row>
    <row r="20">
      <c r="A20" s="9" t="inlineStr">
        <is>
          <t>West</t>
        </is>
      </c>
      <c r="B20" s="10" t="n">
        <v>64</v>
      </c>
      <c r="C20" s="10" t="n">
        <v>283</v>
      </c>
      <c r="D20" s="11" t="n">
        <v>1440567.01</v>
      </c>
      <c r="E20" s="11" t="n">
        <v>427337.01</v>
      </c>
      <c r="F20" s="12" t="n">
        <v>0.2966</v>
      </c>
    </row>
    <row r="21">
      <c r="A21" s="9" t="inlineStr">
        <is>
          <t>East</t>
        </is>
      </c>
      <c r="B21" s="10" t="n">
        <v>49</v>
      </c>
      <c r="C21" s="10" t="n">
        <v>211</v>
      </c>
      <c r="D21" s="11" t="n">
        <v>1089556.36</v>
      </c>
      <c r="E21" s="11" t="n">
        <v>305696.36</v>
      </c>
      <c r="F21" s="12" t="n">
        <v>0.2806</v>
      </c>
    </row>
    <row r="22">
      <c r="A22" s="9" t="inlineStr">
        <is>
          <t>Central</t>
        </is>
      </c>
      <c r="B22" s="10" t="n">
        <v>26</v>
      </c>
      <c r="C22" s="10" t="n">
        <v>129</v>
      </c>
      <c r="D22" s="11" t="n">
        <v>408526.23</v>
      </c>
      <c r="E22" s="11" t="n">
        <v>119186.23</v>
      </c>
      <c r="F22" s="12" t="n">
        <v>0.2917</v>
      </c>
    </row>
    <row r="23"/>
    <row r="24"/>
    <row r="25"/>
    <row r="26">
      <c r="A26" s="13" t="inlineStr">
        <is>
          <t>HOW TO INTERACT &amp; ADD EXCEL PIVOTTABLES / SLICERS:</t>
        </is>
      </c>
    </row>
    <row r="27">
      <c r="A27" s="14" t="inlineStr">
        <is>
          <t>1. Interactive Slicers: Open this file in Microsoft Excel -&gt; Go to 'Cleaned_Data' sheet -&gt; Select any cell in the table.</t>
        </is>
      </c>
    </row>
    <row r="28">
      <c r="A28" s="14" t="inlineStr">
        <is>
          <t>2. Click 'Insert' ribbon -&gt; Click 'PivotTable' -&gt; Select New or Existing Worksheet.</t>
        </is>
      </c>
    </row>
    <row r="29">
      <c r="A29" s="14" t="inlineStr">
        <is>
          <t>3. Drag 'Category' or 'Region' to Rows and 'Revenue' &amp; 'Profit' to Values.</t>
        </is>
      </c>
    </row>
    <row r="30">
      <c r="A30" s="14" t="inlineStr">
        <is>
          <t>4. Click 'Insert Slicer' in the PivotTable Analyze menu and check 'Category', 'Region', and 'Month_Name' to filter dynamically.</t>
        </is>
      </c>
    </row>
  </sheetData>
  <mergeCells count="14">
    <mergeCell ref="A4:B4"/>
    <mergeCell ref="G4:H4"/>
    <mergeCell ref="E4:F4"/>
    <mergeCell ref="I4:J4"/>
    <mergeCell ref="C5:D5"/>
    <mergeCell ref="A5:B5"/>
    <mergeCell ref="A2:K2"/>
    <mergeCell ref="E5:F5"/>
    <mergeCell ref="G5:H5"/>
    <mergeCell ref="I5:J5"/>
    <mergeCell ref="K5:L5"/>
    <mergeCell ref="K4:L4"/>
    <mergeCell ref="A1:K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30" customWidth="1" min="4" max="4"/>
    <col width="18" customWidth="1" min="5" max="5"/>
    <col width="13" customWidth="1" min="6" max="6"/>
    <col width="13" customWidth="1" min="7" max="7"/>
    <col width="16" customWidth="1" min="8" max="8"/>
    <col width="13" customWidth="1" min="9" max="9"/>
  </cols>
  <sheetData>
    <row r="1">
      <c r="A1" s="15" t="inlineStr">
        <is>
          <t>Order_ID</t>
        </is>
      </c>
      <c r="B1" s="15" t="inlineStr">
        <is>
          <t>Order_Date</t>
        </is>
      </c>
      <c r="C1" s="15" t="inlineStr">
        <is>
          <t>Product_ID</t>
        </is>
      </c>
      <c r="D1" s="15" t="inlineStr">
        <is>
          <t>Product_Name</t>
        </is>
      </c>
      <c r="E1" s="15" t="inlineStr">
        <is>
          <t>Category</t>
        </is>
      </c>
      <c r="F1" s="15" t="inlineStr">
        <is>
          <t>Region</t>
        </is>
      </c>
      <c r="G1" s="15" t="inlineStr">
        <is>
          <t>Quantity</t>
        </is>
      </c>
      <c r="H1" s="15" t="inlineStr">
        <is>
          <t>Selling_Price</t>
        </is>
      </c>
      <c r="I1" s="15" t="inlineStr">
        <is>
          <t>Cost_Price</t>
        </is>
      </c>
    </row>
    <row r="2">
      <c r="A2" s="10" t="inlineStr">
        <is>
          <t>ORD-2024183</t>
        </is>
      </c>
      <c r="B2" s="10" t="inlineStr">
        <is>
          <t>2024-12-24</t>
        </is>
      </c>
      <c r="C2" s="10" t="inlineStr">
        <is>
          <t>P107</t>
        </is>
      </c>
      <c r="D2" s="10" t="inlineStr">
        <is>
          <t>Bookshelf Cabinet</t>
        </is>
      </c>
      <c r="E2" s="10" t="inlineStr">
        <is>
          <t>Furniture</t>
        </is>
      </c>
      <c r="F2" s="10" t="inlineStr">
        <is>
          <t>Central</t>
        </is>
      </c>
      <c r="G2" s="10" t="n">
        <v>4</v>
      </c>
      <c r="H2" s="10" t="n">
        <v>5652.5</v>
      </c>
      <c r="I2" s="10" t="n">
        <v>4100</v>
      </c>
    </row>
    <row r="3">
      <c r="A3" s="10" t="inlineStr">
        <is>
          <t>ORD-2024155</t>
        </is>
      </c>
      <c r="B3" s="10" t="inlineStr">
        <is>
          <t>2024-07-26</t>
        </is>
      </c>
      <c r="C3" s="10" t="inlineStr">
        <is>
          <t>P112</t>
        </is>
      </c>
      <c r="D3" s="10" t="inlineStr">
        <is>
          <t>USB-C Multiport Hub</t>
        </is>
      </c>
      <c r="E3" s="10" t="inlineStr">
        <is>
          <t>Accessories</t>
        </is>
      </c>
      <c r="F3" s="10" t="inlineStr">
        <is>
          <t>North</t>
        </is>
      </c>
      <c r="G3" s="10" t="n">
        <v>11</v>
      </c>
      <c r="H3" s="10" t="n">
        <v>1959.02</v>
      </c>
      <c r="I3" s="10" t="n">
        <v>1150</v>
      </c>
    </row>
    <row r="4">
      <c r="A4" s="10" t="inlineStr">
        <is>
          <t>ORD-2024112</t>
        </is>
      </c>
      <c r="B4" s="10" t="inlineStr">
        <is>
          <t>2024-10-31</t>
        </is>
      </c>
      <c r="C4" s="10" t="inlineStr">
        <is>
          <t>P106</t>
        </is>
      </c>
      <c r="D4" s="10" t="inlineStr">
        <is>
          <t>Standing Desk</t>
        </is>
      </c>
      <c r="E4" s="10" t="inlineStr">
        <is>
          <t>Furniture</t>
        </is>
      </c>
      <c r="F4" s="10" t="inlineStr">
        <is>
          <t>Central</t>
        </is>
      </c>
      <c r="G4" s="10" t="n">
        <v>4</v>
      </c>
      <c r="H4" s="10" t="n">
        <v>18130</v>
      </c>
      <c r="I4" s="10" t="n">
        <v>12500</v>
      </c>
    </row>
    <row r="5">
      <c r="A5" s="10" t="inlineStr">
        <is>
          <t>ORD-2024204</t>
        </is>
      </c>
      <c r="B5" s="10" t="inlineStr">
        <is>
          <t>2024-02-05</t>
        </is>
      </c>
      <c r="C5" s="10" t="inlineStr">
        <is>
          <t>P105</t>
        </is>
      </c>
      <c r="D5" s="10" t="inlineStr">
        <is>
          <t>Ergonomic Office Chair</t>
        </is>
      </c>
      <c r="E5" s="10" t="inlineStr">
        <is>
          <t>Furniture</t>
        </is>
      </c>
      <c r="F5" s="10" t="inlineStr">
        <is>
          <t>West</t>
        </is>
      </c>
      <c r="G5" s="10" t="n">
        <v>4</v>
      </c>
      <c r="H5" s="10" t="n">
        <v>9999</v>
      </c>
      <c r="I5" s="10" t="n">
        <v>6800</v>
      </c>
    </row>
    <row r="6">
      <c r="A6" s="10" t="inlineStr">
        <is>
          <t>ORD-2024061</t>
        </is>
      </c>
      <c r="B6" s="10" t="inlineStr">
        <is>
          <t>2024-02-11</t>
        </is>
      </c>
      <c r="C6" s="10" t="inlineStr">
        <is>
          <t>P107</t>
        </is>
      </c>
      <c r="D6" s="10" t="inlineStr">
        <is>
          <t>Bookshelf Cabinet</t>
        </is>
      </c>
      <c r="E6" s="10" t="inlineStr">
        <is>
          <t>Furniture</t>
        </is>
      </c>
      <c r="F6" s="10" t="inlineStr">
        <is>
          <t>East</t>
        </is>
      </c>
      <c r="G6" s="10" t="n">
        <v>3</v>
      </c>
      <c r="H6" s="10" t="n">
        <v>5950</v>
      </c>
      <c r="I6" s="10" t="n">
        <v>4100</v>
      </c>
    </row>
    <row r="7">
      <c r="A7" s="10" t="inlineStr">
        <is>
          <t>ORD-2024010</t>
        </is>
      </c>
      <c r="B7" s="10" t="inlineStr">
        <is>
          <t>2024-02-10</t>
        </is>
      </c>
      <c r="C7" s="10" t="inlineStr">
        <is>
          <t>P109</t>
        </is>
      </c>
      <c r="D7" s="10" t="inlineStr">
        <is>
          <t>Gel Pen Pack (10x)</t>
        </is>
      </c>
      <c r="E7" s="10" t="inlineStr">
        <is>
          <t>Office Supplies</t>
        </is>
      </c>
      <c r="F7" s="10" t="inlineStr">
        <is>
          <t>South</t>
        </is>
      </c>
      <c r="G7" s="10" t="n">
        <v>11</v>
      </c>
      <c r="H7" s="10" t="n">
        <v>235.2</v>
      </c>
      <c r="I7" s="10" t="n">
        <v>110</v>
      </c>
    </row>
    <row r="8">
      <c r="A8" s="10" t="inlineStr">
        <is>
          <t>ORD-2024120</t>
        </is>
      </c>
      <c r="B8" s="10" t="inlineStr">
        <is>
          <t>2024-02-01</t>
        </is>
      </c>
      <c r="C8" s="10" t="inlineStr">
        <is>
          <t>P104</t>
        </is>
      </c>
      <c r="D8" s="10" t="inlineStr">
        <is>
          <t>Noise-Cancelling Headphones</t>
        </is>
      </c>
      <c r="E8" s="10" t="inlineStr">
        <is>
          <t>Electronics</t>
        </is>
      </c>
      <c r="F8" s="10" t="inlineStr">
        <is>
          <t>West</t>
        </is>
      </c>
      <c r="G8" s="10" t="n">
        <v>4</v>
      </c>
      <c r="H8" s="10" t="n">
        <v>5879.02</v>
      </c>
      <c r="I8" s="10" t="n">
        <v>3600</v>
      </c>
    </row>
    <row r="9">
      <c r="A9" s="10" t="inlineStr">
        <is>
          <t>ORD-2024158</t>
        </is>
      </c>
      <c r="B9" s="10" t="inlineStr">
        <is>
          <t>2024-06-05</t>
        </is>
      </c>
      <c r="C9" s="10" t="inlineStr">
        <is>
          <t>P105</t>
        </is>
      </c>
      <c r="D9" s="10" t="inlineStr">
        <is>
          <t>Ergonomic Office Chair</t>
        </is>
      </c>
      <c r="E9" s="10" t="inlineStr">
        <is>
          <t>Furniture</t>
        </is>
      </c>
      <c r="F9" s="10" t="inlineStr">
        <is>
          <t>North</t>
        </is>
      </c>
      <c r="G9" s="10" t="n">
        <v>2</v>
      </c>
      <c r="H9" s="10" t="n">
        <v>9999</v>
      </c>
      <c r="I9" s="10" t="n">
        <v>6800</v>
      </c>
    </row>
    <row r="10">
      <c r="A10" s="10" t="inlineStr">
        <is>
          <t>ORD-2024168</t>
        </is>
      </c>
      <c r="B10" s="10" t="inlineStr">
        <is>
          <t>2024-02-07</t>
        </is>
      </c>
      <c r="C10" s="10" t="inlineStr">
        <is>
          <t>P110</t>
        </is>
      </c>
      <c r="D10" s="10" t="inlineStr">
        <is>
          <t>A4 Copier Paper (500s)</t>
        </is>
      </c>
      <c r="E10" s="10" t="inlineStr">
        <is>
          <t>Office Supplies</t>
        </is>
      </c>
      <c r="F10" s="10" t="inlineStr">
        <is>
          <t>East</t>
        </is>
      </c>
      <c r="G10" s="10" t="n">
        <v>1</v>
      </c>
      <c r="H10" s="10" t="n">
        <v>320</v>
      </c>
      <c r="I10" s="10" t="n">
        <v>190</v>
      </c>
    </row>
    <row r="11">
      <c r="A11" s="10" t="inlineStr">
        <is>
          <t>ORD-2024034</t>
        </is>
      </c>
      <c r="B11" s="10" t="inlineStr">
        <is>
          <t>2024-02-05</t>
        </is>
      </c>
      <c r="C11" s="10" t="inlineStr">
        <is>
          <t>P113</t>
        </is>
      </c>
      <c r="D11" s="10" t="inlineStr">
        <is>
          <t>Laptop Backpack</t>
        </is>
      </c>
      <c r="E11" s="10" t="inlineStr">
        <is>
          <t>Accessories</t>
        </is>
      </c>
      <c r="F11" s="10" t="inlineStr">
        <is>
          <t>East</t>
        </is>
      </c>
      <c r="G11" s="10" t="n">
        <v>3</v>
      </c>
      <c r="H11" s="10" t="n">
        <v>1599</v>
      </c>
      <c r="I11" s="10" t="n">
        <v>820</v>
      </c>
    </row>
    <row r="12">
      <c r="A12" s="10" t="inlineStr">
        <is>
          <t>ORD-2024006</t>
        </is>
      </c>
      <c r="B12" s="10" t="inlineStr">
        <is>
          <t>2024-03-22</t>
        </is>
      </c>
      <c r="C12" s="10" t="inlineStr">
        <is>
          <t>P112</t>
        </is>
      </c>
      <c r="D12" s="10" t="inlineStr">
        <is>
          <t>USB-C Multiport Hub</t>
        </is>
      </c>
      <c r="E12" s="10" t="inlineStr">
        <is>
          <t>Accessories</t>
        </is>
      </c>
      <c r="F12" s="10" t="inlineStr">
        <is>
          <t>South</t>
        </is>
      </c>
      <c r="G12" s="10" t="n">
        <v>5</v>
      </c>
      <c r="H12" s="10" t="n">
        <v>1999</v>
      </c>
      <c r="I12" s="10" t="n">
        <v>1150</v>
      </c>
    </row>
    <row r="13">
      <c r="A13" s="10" t="inlineStr">
        <is>
          <t>ORD-2024102</t>
        </is>
      </c>
      <c r="B13" s="10" t="inlineStr">
        <is>
          <t>2024-05-26</t>
        </is>
      </c>
      <c r="C13" s="10" t="inlineStr">
        <is>
          <t>P104</t>
        </is>
      </c>
      <c r="D13" s="10" t="inlineStr">
        <is>
          <t>Noise-Cancelling Headphones</t>
        </is>
      </c>
      <c r="E13" s="10" t="inlineStr">
        <is>
          <t>Electronics</t>
        </is>
      </c>
      <c r="F13" s="10" t="inlineStr">
        <is>
          <t>South</t>
        </is>
      </c>
      <c r="G13" s="10" t="n">
        <v>3</v>
      </c>
      <c r="H13" s="10" t="n">
        <v>5699.05</v>
      </c>
      <c r="I13" s="10" t="n">
        <v>3600</v>
      </c>
    </row>
    <row r="14">
      <c r="A14" s="10" t="inlineStr">
        <is>
          <t>ORD-2024046</t>
        </is>
      </c>
      <c r="B14" s="10" t="inlineStr">
        <is>
          <t>2024-07-29</t>
        </is>
      </c>
      <c r="C14" s="10" t="inlineStr">
        <is>
          <t>P108</t>
        </is>
      </c>
      <c r="D14" s="10" t="inlineStr">
        <is>
          <t>Executive Desk Lamp</t>
        </is>
      </c>
      <c r="E14" s="10" t="inlineStr">
        <is>
          <t>Furniture</t>
        </is>
      </c>
      <c r="F14" s="10" t="inlineStr">
        <is>
          <t>West</t>
        </is>
      </c>
      <c r="G14" s="10" t="n">
        <v>1</v>
      </c>
      <c r="H14" s="10" t="n">
        <v>1499</v>
      </c>
      <c r="I14" s="10" t="n">
        <v>850</v>
      </c>
    </row>
    <row r="15">
      <c r="A15" s="10" t="inlineStr">
        <is>
          <t>ORD-2024178</t>
        </is>
      </c>
      <c r="B15" s="10" t="inlineStr">
        <is>
          <t>2024-12-25</t>
        </is>
      </c>
      <c r="C15" s="10" t="inlineStr">
        <is>
          <t>P114</t>
        </is>
      </c>
      <c r="D15" s="10" t="inlineStr">
        <is>
          <t>Webcam 1080p HD</t>
        </is>
      </c>
      <c r="E15" s="10" t="inlineStr">
        <is>
          <t>Accessories</t>
        </is>
      </c>
      <c r="F15" s="10" t="inlineStr">
        <is>
          <t>South</t>
        </is>
      </c>
      <c r="G15" s="10" t="n">
        <v>11</v>
      </c>
      <c r="H15" s="10" t="n">
        <v>2450</v>
      </c>
      <c r="I15" s="10" t="n">
        <v>1450</v>
      </c>
    </row>
    <row r="16">
      <c r="A16" s="10" t="inlineStr">
        <is>
          <t>ORD-2024119</t>
        </is>
      </c>
      <c r="B16" s="10" t="inlineStr">
        <is>
          <t>2024-07-31</t>
        </is>
      </c>
      <c r="C16" s="10" t="inlineStr">
        <is>
          <t>P107</t>
        </is>
      </c>
      <c r="D16" s="10" t="inlineStr">
        <is>
          <t>Bookshelf Cabinet</t>
        </is>
      </c>
      <c r="E16" s="10" t="inlineStr">
        <is>
          <t>Furniture</t>
        </is>
      </c>
      <c r="F16" s="10" t="inlineStr">
        <is>
          <t>South</t>
        </is>
      </c>
      <c r="G16" s="10" t="n">
        <v>4</v>
      </c>
      <c r="H16" s="10" t="n">
        <v>5652.5</v>
      </c>
      <c r="I16" s="10" t="n">
        <v>4100</v>
      </c>
    </row>
    <row r="17">
      <c r="A17" s="10" t="inlineStr">
        <is>
          <t>ORD-2024047</t>
        </is>
      </c>
      <c r="B17" s="10" t="inlineStr">
        <is>
          <t>2024-02-01</t>
        </is>
      </c>
      <c r="C17" s="10" t="inlineStr">
        <is>
          <t>P107</t>
        </is>
      </c>
      <c r="D17" s="10" t="inlineStr">
        <is>
          <t>Bookshelf Cabinet</t>
        </is>
      </c>
      <c r="E17" s="10" t="inlineStr">
        <is>
          <t>Furniture</t>
        </is>
      </c>
      <c r="F17" s="10" t="inlineStr">
        <is>
          <t>West</t>
        </is>
      </c>
      <c r="G17" s="10" t="n">
        <v>1</v>
      </c>
      <c r="H17" s="10" t="n">
        <v>5950</v>
      </c>
      <c r="I17" s="10" t="n">
        <v>4100</v>
      </c>
    </row>
    <row r="18">
      <c r="A18" s="10" t="inlineStr">
        <is>
          <t>ORD-2024126</t>
        </is>
      </c>
      <c r="B18" s="10" t="inlineStr">
        <is>
          <t>2024-08-27</t>
        </is>
      </c>
      <c r="C18" s="10" t="inlineStr">
        <is>
          <t>P103</t>
        </is>
      </c>
      <c r="D18" s="10" t="inlineStr">
        <is>
          <t>Mechanical Keyboard</t>
        </is>
      </c>
      <c r="E18" s="10" t="inlineStr">
        <is>
          <t>Electronics</t>
        </is>
      </c>
      <c r="F18" s="10" t="inlineStr">
        <is>
          <t>Central</t>
        </is>
      </c>
      <c r="G18" s="10" t="n">
        <v>1</v>
      </c>
      <c r="H18" s="10" t="n">
        <v>2660</v>
      </c>
      <c r="I18" s="10" t="n">
        <v>1850</v>
      </c>
    </row>
    <row r="19">
      <c r="A19" s="10" t="inlineStr">
        <is>
          <t>ORD-2024196</t>
        </is>
      </c>
      <c r="B19" s="10" t="inlineStr">
        <is>
          <t>2024-01-27</t>
        </is>
      </c>
      <c r="C19" s="10" t="inlineStr">
        <is>
          <t>P104</t>
        </is>
      </c>
      <c r="D19" s="10" t="inlineStr">
        <is>
          <t>Noise-Cancelling Headphones</t>
        </is>
      </c>
      <c r="E19" s="10" t="inlineStr">
        <is>
          <t>Electronics</t>
        </is>
      </c>
      <c r="F19" s="10" t="inlineStr">
        <is>
          <t>North</t>
        </is>
      </c>
      <c r="G19" s="10" t="n">
        <v>2</v>
      </c>
      <c r="H19" s="10" t="n">
        <v>5999</v>
      </c>
      <c r="I19" s="10" t="n">
        <v>3600</v>
      </c>
    </row>
    <row r="20">
      <c r="A20" s="10" t="inlineStr">
        <is>
          <t>ORD-2024252</t>
        </is>
      </c>
      <c r="B20" s="10" t="inlineStr">
        <is>
          <t>2024-03-20</t>
        </is>
      </c>
      <c r="C20" s="10" t="inlineStr">
        <is>
          <t>P107</t>
        </is>
      </c>
      <c r="D20" s="10" t="inlineStr">
        <is>
          <t>Bookshelf Cabinet</t>
        </is>
      </c>
      <c r="E20" s="10" t="inlineStr">
        <is>
          <t>Furniture</t>
        </is>
      </c>
      <c r="F20" s="10" t="inlineStr">
        <is>
          <t>East</t>
        </is>
      </c>
      <c r="G20" s="10" t="n">
        <v>4</v>
      </c>
      <c r="H20" s="10" t="n">
        <v>5831</v>
      </c>
      <c r="I20" s="10" t="n">
        <v>4100</v>
      </c>
    </row>
    <row r="21">
      <c r="A21" s="10" t="inlineStr">
        <is>
          <t>ORD-2024144</t>
        </is>
      </c>
      <c r="B21" s="10" t="inlineStr">
        <is>
          <t>2024-09-07</t>
        </is>
      </c>
      <c r="C21" s="10" t="inlineStr">
        <is>
          <t>P102</t>
        </is>
      </c>
      <c r="D21" s="10" t="inlineStr">
        <is>
          <t>Wireless Mouse</t>
        </is>
      </c>
      <c r="E21" s="10" t="inlineStr">
        <is>
          <t>Electronics</t>
        </is>
      </c>
      <c r="F21" s="10" t="inlineStr">
        <is>
          <t>South</t>
        </is>
      </c>
      <c r="G21" s="10" t="n">
        <v>6</v>
      </c>
      <c r="H21" s="10" t="n">
        <v>712.5</v>
      </c>
      <c r="I21" s="10" t="n">
        <v>420</v>
      </c>
    </row>
    <row r="22">
      <c r="A22" s="10" t="inlineStr">
        <is>
          <t>ORD-2024233</t>
        </is>
      </c>
      <c r="B22" s="10" t="inlineStr">
        <is>
          <t>2024-09-11</t>
        </is>
      </c>
      <c r="C22" s="10" t="inlineStr">
        <is>
          <t>P114</t>
        </is>
      </c>
      <c r="D22" s="10" t="inlineStr">
        <is>
          <t>Webcam 1080p HD</t>
        </is>
      </c>
      <c r="E22" s="10" t="inlineStr">
        <is>
          <t>Accessories</t>
        </is>
      </c>
      <c r="F22" s="10" t="inlineStr">
        <is>
          <t>Central</t>
        </is>
      </c>
      <c r="G22" s="10" t="n">
        <v>5</v>
      </c>
      <c r="H22" s="10" t="n">
        <v>2450</v>
      </c>
      <c r="I22" s="10" t="n">
        <v>1450</v>
      </c>
    </row>
    <row r="23">
      <c r="A23" s="10" t="inlineStr">
        <is>
          <t>ORD-2024273</t>
        </is>
      </c>
      <c r="B23" s="10" t="inlineStr">
        <is>
          <t>2024-07-14</t>
        </is>
      </c>
      <c r="C23" s="10" t="inlineStr">
        <is>
          <t>P110</t>
        </is>
      </c>
      <c r="D23" s="10" t="inlineStr">
        <is>
          <t>A4 Copier Paper (500s)</t>
        </is>
      </c>
      <c r="E23" s="10" t="inlineStr">
        <is>
          <t>Office Supplies</t>
        </is>
      </c>
      <c r="F23" s="10" t="inlineStr">
        <is>
          <t>East</t>
        </is>
      </c>
      <c r="G23" s="10" t="n">
        <v>8</v>
      </c>
      <c r="H23" s="10" t="n">
        <v>313.6</v>
      </c>
      <c r="I23" s="10" t="n">
        <v>190</v>
      </c>
    </row>
    <row r="24">
      <c r="A24" s="10" t="inlineStr">
        <is>
          <t>ORD-2024249</t>
        </is>
      </c>
      <c r="B24" s="10" t="inlineStr">
        <is>
          <t>2024-01-24</t>
        </is>
      </c>
      <c r="C24" s="10" t="inlineStr">
        <is>
          <t>P101</t>
        </is>
      </c>
      <c r="D24" s="10" t="inlineStr">
        <is>
          <t>Laptop Pro 15</t>
        </is>
      </c>
      <c r="E24" s="10" t="inlineStr">
        <is>
          <t>Electronics</t>
        </is>
      </c>
      <c r="F24" s="10" t="inlineStr">
        <is>
          <t>South</t>
        </is>
      </c>
      <c r="G24" s="10" t="n">
        <v>4</v>
      </c>
      <c r="H24" s="10" t="n">
        <v>55000</v>
      </c>
      <c r="I24" s="10" t="n">
        <v>45000</v>
      </c>
    </row>
    <row r="25">
      <c r="A25" s="10" t="inlineStr">
        <is>
          <t>ORD-2024026</t>
        </is>
      </c>
      <c r="B25" s="10" t="inlineStr">
        <is>
          <t>2024-12-15</t>
        </is>
      </c>
      <c r="C25" s="10" t="inlineStr">
        <is>
          <t>P109</t>
        </is>
      </c>
      <c r="D25" s="10" t="inlineStr">
        <is>
          <t>Gel Pen Pack (10x)</t>
        </is>
      </c>
      <c r="E25" s="10" t="inlineStr">
        <is>
          <t>Office Supplies</t>
        </is>
      </c>
      <c r="F25" s="10" t="inlineStr">
        <is>
          <t>West</t>
        </is>
      </c>
      <c r="G25" s="10" t="n">
        <v>13</v>
      </c>
      <c r="H25" s="10" t="n">
        <v>240</v>
      </c>
      <c r="I25" s="10" t="n">
        <v>110</v>
      </c>
    </row>
    <row r="26">
      <c r="A26" s="10" t="inlineStr">
        <is>
          <t>ORD-2024148</t>
        </is>
      </c>
      <c r="B26" s="10" t="inlineStr">
        <is>
          <t>2024-08-18</t>
        </is>
      </c>
      <c r="C26" s="10" t="inlineStr">
        <is>
          <t>P104</t>
        </is>
      </c>
      <c r="D26" s="10" t="inlineStr">
        <is>
          <t>Noise-Cancelling Headphones</t>
        </is>
      </c>
      <c r="E26" s="10" t="inlineStr">
        <is>
          <t>Electronics</t>
        </is>
      </c>
      <c r="F26" s="10" t="inlineStr">
        <is>
          <t>West</t>
        </is>
      </c>
      <c r="G26" s="10" t="n">
        <v>4</v>
      </c>
      <c r="H26" s="10" t="n">
        <v>5999</v>
      </c>
      <c r="I26" s="10" t="n">
        <v>3600</v>
      </c>
    </row>
    <row r="27">
      <c r="A27" s="10" t="inlineStr">
        <is>
          <t>ORD-2024225</t>
        </is>
      </c>
      <c r="B27" s="10" t="inlineStr">
        <is>
          <t>2024-09-11</t>
        </is>
      </c>
      <c r="C27" s="10" t="inlineStr">
        <is>
          <t>P110</t>
        </is>
      </c>
      <c r="D27" s="10" t="inlineStr">
        <is>
          <t>A4 Copier Paper (500s)</t>
        </is>
      </c>
      <c r="E27" s="10" t="inlineStr">
        <is>
          <t>Office Supplies</t>
        </is>
      </c>
      <c r="F27" s="10" t="inlineStr">
        <is>
          <t>North</t>
        </is>
      </c>
      <c r="G27" s="10" t="n">
        <v>8</v>
      </c>
      <c r="H27" s="10" t="n">
        <v>320</v>
      </c>
      <c r="I27" s="10" t="n">
        <v>190</v>
      </c>
    </row>
    <row r="28">
      <c r="A28" s="10" t="inlineStr">
        <is>
          <t>ORD-2024004</t>
        </is>
      </c>
      <c r="B28" s="10" t="inlineStr">
        <is>
          <t>2024-09-15</t>
        </is>
      </c>
      <c r="C28" s="10" t="inlineStr">
        <is>
          <t>P110</t>
        </is>
      </c>
      <c r="D28" s="10" t="inlineStr">
        <is>
          <t>A4 Copier Paper (500s)</t>
        </is>
      </c>
      <c r="E28" s="10" t="inlineStr">
        <is>
          <t>Office Supplies</t>
        </is>
      </c>
      <c r="F28" s="10" t="inlineStr">
        <is>
          <t>North</t>
        </is>
      </c>
      <c r="G28" s="10" t="n">
        <v>4</v>
      </c>
      <c r="H28" s="10" t="n">
        <v>313.6</v>
      </c>
      <c r="I28" s="10" t="n">
        <v>190</v>
      </c>
    </row>
    <row r="29">
      <c r="A29" s="10" t="inlineStr">
        <is>
          <t>ORD-2024074</t>
        </is>
      </c>
      <c r="B29" s="10" t="inlineStr">
        <is>
          <t>2024-11-20</t>
        </is>
      </c>
      <c r="C29" s="10" t="inlineStr">
        <is>
          <t>P107</t>
        </is>
      </c>
      <c r="D29" s="10" t="inlineStr">
        <is>
          <t>Bookshelf Cabinet</t>
        </is>
      </c>
      <c r="E29" s="10" t="inlineStr">
        <is>
          <t>Furniture</t>
        </is>
      </c>
      <c r="F29" s="10" t="inlineStr">
        <is>
          <t>West</t>
        </is>
      </c>
      <c r="G29" s="10" t="n">
        <v>1</v>
      </c>
      <c r="H29" s="10" t="n">
        <v>5950</v>
      </c>
      <c r="I29" s="10" t="n">
        <v>4100</v>
      </c>
    </row>
    <row r="30">
      <c r="A30" s="10" t="inlineStr">
        <is>
          <t>ORD-2024286</t>
        </is>
      </c>
      <c r="B30" s="10" t="inlineStr">
        <is>
          <t>2024-11-14</t>
        </is>
      </c>
      <c r="C30" s="10" t="inlineStr">
        <is>
          <t>P110</t>
        </is>
      </c>
      <c r="D30" s="10" t="inlineStr">
        <is>
          <t>A4 Copier Paper (500s)</t>
        </is>
      </c>
      <c r="E30" s="10" t="inlineStr">
        <is>
          <t>Office Supplies</t>
        </is>
      </c>
      <c r="F30" s="10" t="inlineStr">
        <is>
          <t>East</t>
        </is>
      </c>
      <c r="G30" s="10" t="n">
        <v>9</v>
      </c>
      <c r="H30" s="10" t="n">
        <v>320</v>
      </c>
      <c r="I30" s="10" t="n">
        <v>190</v>
      </c>
    </row>
    <row r="31">
      <c r="A31" s="10" t="inlineStr">
        <is>
          <t>ORD-2024110</t>
        </is>
      </c>
      <c r="B31" s="10" t="inlineStr">
        <is>
          <t>2024-10-12</t>
        </is>
      </c>
      <c r="C31" s="10" t="inlineStr">
        <is>
          <t>P104</t>
        </is>
      </c>
      <c r="D31" s="10" t="inlineStr">
        <is>
          <t>Noise-Cancelling Headphones</t>
        </is>
      </c>
      <c r="E31" s="10" t="inlineStr">
        <is>
          <t>Electronics</t>
        </is>
      </c>
      <c r="F31" s="10" t="inlineStr">
        <is>
          <t>Central</t>
        </is>
      </c>
      <c r="G31" s="10" t="n">
        <v>1</v>
      </c>
      <c r="H31" s="10" t="n">
        <v>5699.05</v>
      </c>
      <c r="I31" s="10" t="n">
        <v>3600</v>
      </c>
    </row>
    <row r="32">
      <c r="A32" s="10" t="inlineStr">
        <is>
          <t>ORD-2024141</t>
        </is>
      </c>
      <c r="B32" s="10" t="inlineStr">
        <is>
          <t>2024-03-02</t>
        </is>
      </c>
      <c r="C32" s="10" t="inlineStr">
        <is>
          <t>P113</t>
        </is>
      </c>
      <c r="D32" s="10" t="inlineStr">
        <is>
          <t>Laptop Backpack</t>
        </is>
      </c>
      <c r="E32" s="10" t="inlineStr">
        <is>
          <t>Accessories</t>
        </is>
      </c>
      <c r="F32" s="10" t="inlineStr">
        <is>
          <t>Central</t>
        </is>
      </c>
      <c r="G32" s="10" t="n">
        <v>13</v>
      </c>
      <c r="H32" s="10" t="n">
        <v>1599</v>
      </c>
      <c r="I32" s="10" t="n">
        <v>820</v>
      </c>
    </row>
    <row r="33">
      <c r="A33" s="10" t="inlineStr">
        <is>
          <t>ORD-2024288</t>
        </is>
      </c>
      <c r="B33" s="10" t="inlineStr">
        <is>
          <t>2024-04-02</t>
        </is>
      </c>
      <c r="C33" s="10" t="inlineStr">
        <is>
          <t>P105</t>
        </is>
      </c>
      <c r="D33" s="10" t="inlineStr">
        <is>
          <t>Ergonomic Office Chair</t>
        </is>
      </c>
      <c r="E33" s="10" t="inlineStr">
        <is>
          <t>Furniture</t>
        </is>
      </c>
      <c r="F33" s="10" t="inlineStr">
        <is>
          <t>West</t>
        </is>
      </c>
      <c r="G33" s="10" t="n">
        <v>3</v>
      </c>
      <c r="H33" s="10" t="n">
        <v>9999</v>
      </c>
      <c r="I33" s="10" t="n">
        <v>6800</v>
      </c>
    </row>
    <row r="34">
      <c r="A34" s="10" t="inlineStr">
        <is>
          <t>ORD-2024212</t>
        </is>
      </c>
      <c r="B34" s="10" t="inlineStr">
        <is>
          <t>2024-01-19</t>
        </is>
      </c>
      <c r="C34" s="10" t="inlineStr">
        <is>
          <t>P103</t>
        </is>
      </c>
      <c r="D34" s="10" t="inlineStr">
        <is>
          <t>Mechanical Keyboard</t>
        </is>
      </c>
      <c r="E34" s="10" t="inlineStr">
        <is>
          <t>Electronics</t>
        </is>
      </c>
      <c r="F34" s="10" t="inlineStr">
        <is>
          <t>South</t>
        </is>
      </c>
      <c r="G34" s="10" t="n">
        <v>3</v>
      </c>
      <c r="H34" s="10" t="n">
        <v>2800</v>
      </c>
      <c r="I34" s="10" t="n">
        <v>1850</v>
      </c>
    </row>
    <row r="35">
      <c r="A35" s="10" t="inlineStr">
        <is>
          <t>ORD-2024043</t>
        </is>
      </c>
      <c r="B35" s="10" t="inlineStr">
        <is>
          <t>2024-03-08</t>
        </is>
      </c>
      <c r="C35" s="10" t="inlineStr">
        <is>
          <t>P112</t>
        </is>
      </c>
      <c r="D35" s="10" t="inlineStr">
        <is>
          <t>USB-C Multiport Hub</t>
        </is>
      </c>
      <c r="E35" s="10" t="inlineStr">
        <is>
          <t>Accessories</t>
        </is>
      </c>
      <c r="F35" s="10" t="inlineStr">
        <is>
          <t>Central</t>
        </is>
      </c>
      <c r="G35" s="10" t="n">
        <v>10</v>
      </c>
      <c r="H35" s="10" t="n">
        <v>1959.02</v>
      </c>
      <c r="I35" s="10" t="n">
        <v>1150</v>
      </c>
    </row>
    <row r="36">
      <c r="A36" s="10" t="inlineStr">
        <is>
          <t>ORD-2024018</t>
        </is>
      </c>
      <c r="B36" s="10" t="inlineStr">
        <is>
          <t>2024-05-17</t>
        </is>
      </c>
      <c r="C36" s="10" t="inlineStr">
        <is>
          <t>P102</t>
        </is>
      </c>
      <c r="D36" s="10" t="inlineStr">
        <is>
          <t>Wireless Mouse</t>
        </is>
      </c>
      <c r="E36" s="10" t="inlineStr">
        <is>
          <t>Electronics</t>
        </is>
      </c>
      <c r="F36" s="10" t="inlineStr">
        <is>
          <t>North</t>
        </is>
      </c>
      <c r="G36" s="10" t="n">
        <v>6</v>
      </c>
      <c r="H36" s="10" t="n">
        <v>750</v>
      </c>
      <c r="I36" s="10" t="n">
        <v>420</v>
      </c>
    </row>
    <row r="37">
      <c r="A37" s="10" t="inlineStr">
        <is>
          <t>ORD-2024283</t>
        </is>
      </c>
      <c r="B37" s="10" t="inlineStr">
        <is>
          <t>2024-09-16</t>
        </is>
      </c>
      <c r="C37" s="10" t="inlineStr">
        <is>
          <t>P104</t>
        </is>
      </c>
      <c r="D37" s="10" t="inlineStr">
        <is>
          <t>Noise-Cancelling Headphones</t>
        </is>
      </c>
      <c r="E37" s="10" t="inlineStr">
        <is>
          <t>Electronics</t>
        </is>
      </c>
      <c r="F37" s="10" t="inlineStr">
        <is>
          <t>North</t>
        </is>
      </c>
      <c r="G37" s="10" t="n">
        <v>4</v>
      </c>
      <c r="H37" s="10" t="n">
        <v>5999</v>
      </c>
      <c r="I37" s="10" t="n">
        <v>3600</v>
      </c>
    </row>
    <row r="38">
      <c r="A38" s="10" t="inlineStr">
        <is>
          <t>ORD-2024077</t>
        </is>
      </c>
      <c r="B38" s="10" t="inlineStr">
        <is>
          <t>2024-02-27</t>
        </is>
      </c>
      <c r="C38" s="10" t="inlineStr">
        <is>
          <t>P102</t>
        </is>
      </c>
      <c r="D38" s="10" t="inlineStr">
        <is>
          <t>Wireless Mouse</t>
        </is>
      </c>
      <c r="E38" s="10" t="inlineStr">
        <is>
          <t>Electronics</t>
        </is>
      </c>
      <c r="F38" s="10" t="inlineStr">
        <is>
          <t>Central</t>
        </is>
      </c>
      <c r="G38" s="10" t="n">
        <v>3</v>
      </c>
      <c r="H38" s="10" t="n">
        <v>735</v>
      </c>
      <c r="I38" s="10" t="n">
        <v>420</v>
      </c>
    </row>
    <row r="39">
      <c r="A39" s="10" t="inlineStr">
        <is>
          <t>ORD-2024091</t>
        </is>
      </c>
      <c r="B39" s="10" t="inlineStr">
        <is>
          <t>2024-01-15</t>
        </is>
      </c>
      <c r="C39" s="10" t="inlineStr">
        <is>
          <t>P102</t>
        </is>
      </c>
      <c r="D39" s="10" t="inlineStr">
        <is>
          <t>Wireless Mouse</t>
        </is>
      </c>
      <c r="E39" s="10" t="inlineStr">
        <is>
          <t>Electronics</t>
        </is>
      </c>
      <c r="F39" s="10" t="inlineStr">
        <is>
          <t>West</t>
        </is>
      </c>
      <c r="G39" s="10" t="n">
        <v>5</v>
      </c>
      <c r="H39" s="10" t="n">
        <v>750</v>
      </c>
      <c r="I39" s="10" t="n">
        <v>420</v>
      </c>
    </row>
    <row r="40">
      <c r="A40" s="10" t="inlineStr">
        <is>
          <t>ORD-2024025</t>
        </is>
      </c>
      <c r="B40" s="10" t="inlineStr">
        <is>
          <t>2024-05-08</t>
        </is>
      </c>
      <c r="C40" s="10" t="inlineStr">
        <is>
          <t>P109</t>
        </is>
      </c>
      <c r="D40" s="10" t="inlineStr">
        <is>
          <t>Gel Pen Pack (10x)</t>
        </is>
      </c>
      <c r="E40" s="10" t="inlineStr">
        <is>
          <t>Office Supplies</t>
        </is>
      </c>
      <c r="F40" s="10" t="inlineStr">
        <is>
          <t>West</t>
        </is>
      </c>
      <c r="G40" s="10" t="n">
        <v>1</v>
      </c>
      <c r="H40" s="10" t="n">
        <v>240</v>
      </c>
      <c r="I40" s="10" t="n">
        <v>110</v>
      </c>
    </row>
    <row r="41">
      <c r="A41" s="10" t="inlineStr">
        <is>
          <t>ORD-2024058</t>
        </is>
      </c>
      <c r="B41" s="10" t="inlineStr">
        <is>
          <t>2024-09-17</t>
        </is>
      </c>
      <c r="C41" s="10" t="inlineStr">
        <is>
          <t>P102</t>
        </is>
      </c>
      <c r="D41" s="10" t="inlineStr">
        <is>
          <t>Wireless Mouse</t>
        </is>
      </c>
      <c r="E41" s="10" t="inlineStr">
        <is>
          <t>Electronics</t>
        </is>
      </c>
      <c r="F41" s="10" t="inlineStr">
        <is>
          <t>West</t>
        </is>
      </c>
      <c r="G41" s="10" t="n">
        <v>2</v>
      </c>
      <c r="H41" s="10" t="n">
        <v>735</v>
      </c>
      <c r="I41" s="10" t="n">
        <v>420</v>
      </c>
    </row>
    <row r="42">
      <c r="A42" s="10" t="inlineStr">
        <is>
          <t>ORD-2024093</t>
        </is>
      </c>
      <c r="B42" s="10" t="inlineStr">
        <is>
          <t>2024-06-09</t>
        </is>
      </c>
      <c r="C42" s="10" t="inlineStr">
        <is>
          <t>P107</t>
        </is>
      </c>
      <c r="D42" s="10" t="inlineStr">
        <is>
          <t>Bookshelf Cabinet</t>
        </is>
      </c>
      <c r="E42" s="10" t="inlineStr">
        <is>
          <t>Furniture</t>
        </is>
      </c>
      <c r="F42" s="10" t="inlineStr">
        <is>
          <t>East</t>
        </is>
      </c>
      <c r="G42" s="10" t="n">
        <v>1</v>
      </c>
      <c r="H42" s="10" t="n">
        <v>5652.5</v>
      </c>
      <c r="I42" s="10" t="n">
        <v>4100</v>
      </c>
    </row>
    <row r="43">
      <c r="A43" s="10" t="inlineStr">
        <is>
          <t>ORD-2024078</t>
        </is>
      </c>
      <c r="B43" s="10" t="inlineStr">
        <is>
          <t>2024-01-19</t>
        </is>
      </c>
      <c r="C43" s="10" t="inlineStr">
        <is>
          <t>P114</t>
        </is>
      </c>
      <c r="D43" s="10" t="inlineStr">
        <is>
          <t>Webcam 1080p HD</t>
        </is>
      </c>
      <c r="E43" s="10" t="inlineStr">
        <is>
          <t>Accessories</t>
        </is>
      </c>
      <c r="F43" s="10" t="inlineStr">
        <is>
          <t>South</t>
        </is>
      </c>
      <c r="G43" s="10" t="n">
        <v>9</v>
      </c>
      <c r="H43" s="10" t="n">
        <v>2450</v>
      </c>
      <c r="I43" s="10" t="n">
        <v>1450</v>
      </c>
    </row>
    <row r="44">
      <c r="A44" s="10" t="inlineStr">
        <is>
          <t>ORD-2024255</t>
        </is>
      </c>
      <c r="B44" s="10" t="inlineStr">
        <is>
          <t>2024-12-17</t>
        </is>
      </c>
      <c r="C44" s="10" t="inlineStr">
        <is>
          <t>P106</t>
        </is>
      </c>
      <c r="D44" s="10" t="inlineStr">
        <is>
          <t>Standing Desk</t>
        </is>
      </c>
      <c r="E44" s="10" t="inlineStr">
        <is>
          <t>Furniture</t>
        </is>
      </c>
      <c r="F44" s="10" t="inlineStr">
        <is>
          <t>East</t>
        </is>
      </c>
      <c r="G44" s="10" t="n">
        <v>3</v>
      </c>
      <c r="H44" s="10" t="n">
        <v>18500</v>
      </c>
      <c r="I44" s="10" t="n">
        <v>12500</v>
      </c>
    </row>
    <row r="45">
      <c r="A45" s="10" t="inlineStr">
        <is>
          <t>ORD-2024117</t>
        </is>
      </c>
      <c r="B45" s="10" t="inlineStr">
        <is>
          <t>2024-06-12</t>
        </is>
      </c>
      <c r="C45" s="10" t="inlineStr">
        <is>
          <t>P109</t>
        </is>
      </c>
      <c r="D45" s="10" t="inlineStr">
        <is>
          <t>Gel Pen Pack (10x)</t>
        </is>
      </c>
      <c r="E45" s="10" t="inlineStr">
        <is>
          <t>Office Supplies</t>
        </is>
      </c>
      <c r="F45" s="10" t="inlineStr">
        <is>
          <t>North</t>
        </is>
      </c>
      <c r="G45" s="10" t="n">
        <v>3</v>
      </c>
      <c r="H45" s="10" t="n">
        <v>240</v>
      </c>
      <c r="I45" s="10" t="n">
        <v>110</v>
      </c>
    </row>
    <row r="46">
      <c r="A46" s="10" t="inlineStr">
        <is>
          <t>ORD-2024008</t>
        </is>
      </c>
      <c r="B46" s="10" t="inlineStr">
        <is>
          <t>2024-02-19</t>
        </is>
      </c>
      <c r="C46" s="10" t="inlineStr">
        <is>
          <t>P106</t>
        </is>
      </c>
      <c r="D46" s="10" t="inlineStr">
        <is>
          <t>Standing Desk</t>
        </is>
      </c>
      <c r="E46" s="10" t="inlineStr">
        <is>
          <t>Furniture</t>
        </is>
      </c>
      <c r="F46" s="10" t="inlineStr">
        <is>
          <t>West</t>
        </is>
      </c>
      <c r="G46" s="10" t="n">
        <v>3</v>
      </c>
      <c r="H46" s="10" t="n">
        <v>18500</v>
      </c>
      <c r="I46" s="10" t="n">
        <v>12500</v>
      </c>
    </row>
    <row r="47">
      <c r="A47" s="10" t="inlineStr">
        <is>
          <t>ORD-2024194</t>
        </is>
      </c>
      <c r="B47" s="10" t="inlineStr">
        <is>
          <t>2024-01-01</t>
        </is>
      </c>
      <c r="C47" s="10" t="inlineStr">
        <is>
          <t>P111</t>
        </is>
      </c>
      <c r="D47" s="10" t="inlineStr">
        <is>
          <t>Desk Organizer Tray</t>
        </is>
      </c>
      <c r="E47" s="10" t="inlineStr">
        <is>
          <t>Office Supplies</t>
        </is>
      </c>
      <c r="F47" s="10" t="inlineStr">
        <is>
          <t>West</t>
        </is>
      </c>
      <c r="G47" s="10" t="n">
        <v>8</v>
      </c>
      <c r="H47" s="10" t="n">
        <v>456</v>
      </c>
      <c r="I47" s="10" t="n">
        <v>260</v>
      </c>
    </row>
    <row r="48">
      <c r="A48" s="10" t="inlineStr">
        <is>
          <t>ORD-2024285</t>
        </is>
      </c>
      <c r="B48" s="10" t="inlineStr">
        <is>
          <t>2024-05-22</t>
        </is>
      </c>
      <c r="C48" s="10" t="inlineStr">
        <is>
          <t>P110</t>
        </is>
      </c>
      <c r="D48" s="10" t="inlineStr">
        <is>
          <t>A4 Copier Paper (500s)</t>
        </is>
      </c>
      <c r="E48" s="10" t="inlineStr">
        <is>
          <t>Office Supplies</t>
        </is>
      </c>
      <c r="F48" s="10" t="inlineStr">
        <is>
          <t>North</t>
        </is>
      </c>
      <c r="G48" s="10" t="n">
        <v>7</v>
      </c>
      <c r="H48" s="10" t="n">
        <v>313.6</v>
      </c>
      <c r="I48" s="10" t="n">
        <v>190</v>
      </c>
    </row>
    <row r="49">
      <c r="A49" s="10" t="inlineStr">
        <is>
          <t>ORD-2024079</t>
        </is>
      </c>
      <c r="B49" s="10" t="inlineStr">
        <is>
          <t>2024-08-08</t>
        </is>
      </c>
      <c r="C49" s="10" t="inlineStr">
        <is>
          <t>P103</t>
        </is>
      </c>
      <c r="D49" s="10" t="inlineStr">
        <is>
          <t>Mechanical Keyboard</t>
        </is>
      </c>
      <c r="E49" s="10" t="inlineStr">
        <is>
          <t>Electronics</t>
        </is>
      </c>
      <c r="F49" s="10" t="inlineStr">
        <is>
          <t>North</t>
        </is>
      </c>
      <c r="G49" s="10" t="n">
        <v>3</v>
      </c>
      <c r="H49" s="10" t="n">
        <v>2800</v>
      </c>
      <c r="I49" s="10" t="n">
        <v>1850</v>
      </c>
    </row>
    <row r="50">
      <c r="A50" s="10" t="inlineStr">
        <is>
          <t>ORD-2024296</t>
        </is>
      </c>
      <c r="B50" s="10" t="inlineStr">
        <is>
          <t>2024-05-19</t>
        </is>
      </c>
      <c r="C50" s="10" t="inlineStr">
        <is>
          <t>P104</t>
        </is>
      </c>
      <c r="D50" s="10" t="inlineStr">
        <is>
          <t>Noise-Cancelling Headphones</t>
        </is>
      </c>
      <c r="E50" s="10" t="inlineStr">
        <is>
          <t>Electronics</t>
        </is>
      </c>
      <c r="F50" s="10" t="inlineStr">
        <is>
          <t>West</t>
        </is>
      </c>
      <c r="G50" s="10" t="n">
        <v>1</v>
      </c>
      <c r="H50" s="10" t="n">
        <v>5999</v>
      </c>
      <c r="I50" s="10" t="n">
        <v>3600</v>
      </c>
    </row>
    <row r="51">
      <c r="A51" s="10" t="inlineStr">
        <is>
          <t>ORD-2024238</t>
        </is>
      </c>
      <c r="B51" s="10" t="inlineStr">
        <is>
          <t>2024-05-31</t>
        </is>
      </c>
      <c r="C51" s="10" t="inlineStr">
        <is>
          <t>P106</t>
        </is>
      </c>
      <c r="D51" s="10" t="inlineStr">
        <is>
          <t>Standing Desk</t>
        </is>
      </c>
      <c r="E51" s="10" t="inlineStr">
        <is>
          <t>Furniture</t>
        </is>
      </c>
      <c r="F51" s="10" t="inlineStr">
        <is>
          <t>West</t>
        </is>
      </c>
      <c r="G51" s="10" t="n">
        <v>2</v>
      </c>
      <c r="H51" s="10" t="n">
        <v>18500</v>
      </c>
      <c r="I51" s="10" t="n">
        <v>12500</v>
      </c>
    </row>
    <row r="52">
      <c r="A52" s="10" t="inlineStr">
        <is>
          <t>ORD-2024224</t>
        </is>
      </c>
      <c r="B52" s="10" t="inlineStr">
        <is>
          <t>2024-11-08</t>
        </is>
      </c>
      <c r="C52" s="10" t="inlineStr">
        <is>
          <t>P114</t>
        </is>
      </c>
      <c r="D52" s="10" t="inlineStr">
        <is>
          <t>Webcam 1080p HD</t>
        </is>
      </c>
      <c r="E52" s="10" t="inlineStr">
        <is>
          <t>Accessories</t>
        </is>
      </c>
      <c r="F52" s="10" t="inlineStr">
        <is>
          <t>South</t>
        </is>
      </c>
      <c r="G52" s="10" t="n">
        <v>11</v>
      </c>
      <c r="H52" s="10" t="n">
        <v>2450</v>
      </c>
      <c r="I52" s="10" t="n">
        <v>1450</v>
      </c>
    </row>
    <row r="53">
      <c r="A53" s="10" t="inlineStr">
        <is>
          <t>ORD-2024292</t>
        </is>
      </c>
      <c r="B53" s="10" t="inlineStr">
        <is>
          <t>2024-03-21</t>
        </is>
      </c>
      <c r="C53" s="10" t="inlineStr">
        <is>
          <t>P106</t>
        </is>
      </c>
      <c r="D53" s="10" t="inlineStr">
        <is>
          <t>Standing Desk</t>
        </is>
      </c>
      <c r="E53" s="10" t="inlineStr">
        <is>
          <t>Furniture</t>
        </is>
      </c>
      <c r="F53" s="10" t="inlineStr">
        <is>
          <t>South</t>
        </is>
      </c>
      <c r="G53" s="10" t="n">
        <v>3</v>
      </c>
      <c r="H53" s="10" t="n">
        <v>18130</v>
      </c>
      <c r="I53" s="10" t="n">
        <v>12500</v>
      </c>
    </row>
    <row r="54">
      <c r="A54" s="10" t="inlineStr">
        <is>
          <t>ORD-2024064</t>
        </is>
      </c>
      <c r="B54" s="10" t="inlineStr">
        <is>
          <t>2024-06-10</t>
        </is>
      </c>
      <c r="C54" s="10" t="inlineStr">
        <is>
          <t>P113</t>
        </is>
      </c>
      <c r="D54" s="10" t="inlineStr">
        <is>
          <t>Laptop Backpack</t>
        </is>
      </c>
      <c r="E54" s="10" t="inlineStr">
        <is>
          <t>Accessories</t>
        </is>
      </c>
      <c r="F54" s="10" t="inlineStr">
        <is>
          <t>Central</t>
        </is>
      </c>
      <c r="G54" s="10" t="n">
        <v>1</v>
      </c>
      <c r="H54" s="10" t="n">
        <v>1519.05</v>
      </c>
      <c r="I54" s="10" t="n">
        <v>820</v>
      </c>
    </row>
    <row r="55">
      <c r="A55" s="10" t="inlineStr">
        <is>
          <t>ORD-2024083</t>
        </is>
      </c>
      <c r="B55" s="10" t="inlineStr">
        <is>
          <t>2024-07-30</t>
        </is>
      </c>
      <c r="C55" s="10" t="inlineStr">
        <is>
          <t>P101</t>
        </is>
      </c>
      <c r="D55" s="10" t="inlineStr">
        <is>
          <t>Laptop Pro 15</t>
        </is>
      </c>
      <c r="E55" s="10" t="inlineStr">
        <is>
          <t>Electronics</t>
        </is>
      </c>
      <c r="F55" s="10" t="inlineStr">
        <is>
          <t>North</t>
        </is>
      </c>
      <c r="G55" s="10" t="n">
        <v>3</v>
      </c>
      <c r="H55" s="10" t="n">
        <v>52250</v>
      </c>
      <c r="I55" s="10" t="n">
        <v>45000</v>
      </c>
    </row>
    <row r="56">
      <c r="A56" s="10" t="inlineStr">
        <is>
          <t>ORD-2024193</t>
        </is>
      </c>
      <c r="B56" s="10" t="inlineStr">
        <is>
          <t>2024-06-14</t>
        </is>
      </c>
      <c r="C56" s="10" t="inlineStr">
        <is>
          <t>P102</t>
        </is>
      </c>
      <c r="D56" s="10" t="inlineStr">
        <is>
          <t>Wireless Mouse</t>
        </is>
      </c>
      <c r="E56" s="10" t="inlineStr">
        <is>
          <t>Electronics</t>
        </is>
      </c>
      <c r="F56" s="10" t="inlineStr">
        <is>
          <t>Central</t>
        </is>
      </c>
      <c r="G56" s="10" t="n">
        <v>7</v>
      </c>
      <c r="H56" s="10" t="n">
        <v>735</v>
      </c>
      <c r="I56" s="10" t="n">
        <v>420</v>
      </c>
    </row>
    <row r="57">
      <c r="A57" s="10" t="inlineStr">
        <is>
          <t>ORD-2024239</t>
        </is>
      </c>
      <c r="B57" s="10" t="inlineStr">
        <is>
          <t>2024-03-08</t>
        </is>
      </c>
      <c r="C57" s="10" t="inlineStr">
        <is>
          <t>P113</t>
        </is>
      </c>
      <c r="D57" s="10" t="inlineStr">
        <is>
          <t>Laptop Backpack</t>
        </is>
      </c>
      <c r="E57" s="10" t="inlineStr">
        <is>
          <t>Accessories</t>
        </is>
      </c>
      <c r="F57" s="10" t="inlineStr">
        <is>
          <t>East</t>
        </is>
      </c>
      <c r="G57" s="10" t="n">
        <v>6</v>
      </c>
      <c r="H57" s="10" t="n">
        <v>1567.02</v>
      </c>
      <c r="I57" s="10" t="n">
        <v>820</v>
      </c>
    </row>
    <row r="58">
      <c r="A58" s="10" t="inlineStr">
        <is>
          <t>ORD-2024222</t>
        </is>
      </c>
      <c r="B58" s="10" t="inlineStr">
        <is>
          <t>2024-08-08</t>
        </is>
      </c>
      <c r="C58" s="10" t="inlineStr">
        <is>
          <t>P103</t>
        </is>
      </c>
      <c r="D58" s="10" t="inlineStr">
        <is>
          <t>Mechanical Keyboard</t>
        </is>
      </c>
      <c r="E58" s="10" t="inlineStr">
        <is>
          <t>Electronics</t>
        </is>
      </c>
      <c r="F58" s="10" t="inlineStr">
        <is>
          <t>North</t>
        </is>
      </c>
      <c r="G58" s="10" t="n">
        <v>4</v>
      </c>
      <c r="H58" s="10" t="n">
        <v>2744</v>
      </c>
      <c r="I58" s="10" t="n">
        <v>1850</v>
      </c>
    </row>
    <row r="59">
      <c r="A59" s="10" t="inlineStr">
        <is>
          <t>ORD-2024105</t>
        </is>
      </c>
      <c r="B59" s="10" t="inlineStr">
        <is>
          <t>2024-04-30</t>
        </is>
      </c>
      <c r="C59" s="10" t="inlineStr">
        <is>
          <t>P111</t>
        </is>
      </c>
      <c r="D59" s="10" t="inlineStr">
        <is>
          <t>Desk Organizer Tray</t>
        </is>
      </c>
      <c r="E59" s="10" t="inlineStr">
        <is>
          <t>Office Supplies</t>
        </is>
      </c>
      <c r="F59" s="10" t="inlineStr">
        <is>
          <t>South</t>
        </is>
      </c>
      <c r="G59" s="10" t="n">
        <v>13</v>
      </c>
      <c r="H59" s="10" t="n">
        <v>480</v>
      </c>
      <c r="I59" s="10" t="n">
        <v>260</v>
      </c>
    </row>
    <row r="60">
      <c r="A60" s="10" t="inlineStr">
        <is>
          <t>ORD-2024992</t>
        </is>
      </c>
      <c r="B60" s="10" t="inlineStr">
        <is>
          <t>2024-02-11</t>
        </is>
      </c>
      <c r="C60" s="10" t="inlineStr">
        <is>
          <t>P108</t>
        </is>
      </c>
      <c r="D60" s="10" t="inlineStr">
        <is>
          <t>Executive Desk Lamp</t>
        </is>
      </c>
      <c r="E60" s="10" t="inlineStr">
        <is>
          <t>Furniture</t>
        </is>
      </c>
      <c r="F60" s="10" t="inlineStr">
        <is>
          <t>North</t>
        </is>
      </c>
      <c r="G60" s="10" t="inlineStr"/>
      <c r="H60" s="10" t="n">
        <v>1499</v>
      </c>
      <c r="I60" s="10" t="n">
        <v>850</v>
      </c>
    </row>
    <row r="61">
      <c r="A61" s="10" t="inlineStr">
        <is>
          <t>ORD-2024197</t>
        </is>
      </c>
      <c r="B61" s="10" t="inlineStr">
        <is>
          <t>2024-08-12</t>
        </is>
      </c>
      <c r="C61" s="10" t="inlineStr">
        <is>
          <t>P112</t>
        </is>
      </c>
      <c r="D61" s="10" t="inlineStr">
        <is>
          <t>USB-C Multiport Hub</t>
        </is>
      </c>
      <c r="E61" s="10" t="inlineStr">
        <is>
          <t>Accessories</t>
        </is>
      </c>
      <c r="F61" s="10" t="inlineStr">
        <is>
          <t>South</t>
        </is>
      </c>
      <c r="G61" s="10" t="n">
        <v>1</v>
      </c>
      <c r="H61" s="10" t="n">
        <v>1959.02</v>
      </c>
      <c r="I61" s="10" t="n">
        <v>1150</v>
      </c>
    </row>
    <row r="62">
      <c r="A62" s="10" t="inlineStr">
        <is>
          <t>ORD-2024231</t>
        </is>
      </c>
      <c r="B62" s="10" t="inlineStr">
        <is>
          <t>2024-05-31</t>
        </is>
      </c>
      <c r="C62" s="10" t="inlineStr">
        <is>
          <t>P112</t>
        </is>
      </c>
      <c r="D62" s="10" t="inlineStr">
        <is>
          <t>USB-C Multiport Hub</t>
        </is>
      </c>
      <c r="E62" s="10" t="inlineStr">
        <is>
          <t>Accessories</t>
        </is>
      </c>
      <c r="F62" s="10" t="inlineStr">
        <is>
          <t>South</t>
        </is>
      </c>
      <c r="G62" s="10" t="n">
        <v>14</v>
      </c>
      <c r="H62" s="10" t="n">
        <v>1899.05</v>
      </c>
      <c r="I62" s="10" t="n">
        <v>1150</v>
      </c>
    </row>
    <row r="63">
      <c r="A63" s="10" t="inlineStr">
        <is>
          <t>ORD-2024272</t>
        </is>
      </c>
      <c r="B63" s="10" t="inlineStr">
        <is>
          <t>2024-11-15</t>
        </is>
      </c>
      <c r="C63" s="10" t="inlineStr">
        <is>
          <t>P111</t>
        </is>
      </c>
      <c r="D63" s="10" t="inlineStr">
        <is>
          <t>Desk Organizer Tray</t>
        </is>
      </c>
      <c r="E63" s="10" t="inlineStr">
        <is>
          <t>Office Supplies</t>
        </is>
      </c>
      <c r="F63" s="10" t="inlineStr">
        <is>
          <t>East</t>
        </is>
      </c>
      <c r="G63" s="10" t="n">
        <v>12</v>
      </c>
      <c r="H63" s="10" t="n">
        <v>480</v>
      </c>
      <c r="I63" s="10" t="n">
        <v>260</v>
      </c>
    </row>
    <row r="64">
      <c r="A64" s="10" t="inlineStr">
        <is>
          <t>ORD-2024214</t>
        </is>
      </c>
      <c r="B64" s="10" t="inlineStr">
        <is>
          <t>2024-03-14</t>
        </is>
      </c>
      <c r="C64" s="10" t="inlineStr">
        <is>
          <t>P107</t>
        </is>
      </c>
      <c r="D64" s="10" t="inlineStr">
        <is>
          <t>Bookshelf Cabinet</t>
        </is>
      </c>
      <c r="E64" s="10" t="inlineStr">
        <is>
          <t>Furniture</t>
        </is>
      </c>
      <c r="F64" s="10" t="inlineStr">
        <is>
          <t>West</t>
        </is>
      </c>
      <c r="G64" s="10" t="n">
        <v>2</v>
      </c>
      <c r="H64" s="10" t="n">
        <v>5950</v>
      </c>
      <c r="I64" s="10" t="n">
        <v>4100</v>
      </c>
    </row>
    <row r="65">
      <c r="A65" s="10" t="inlineStr">
        <is>
          <t>ORD-2024245</t>
        </is>
      </c>
      <c r="B65" s="10" t="inlineStr">
        <is>
          <t>2024-10-26</t>
        </is>
      </c>
      <c r="C65" s="10" t="inlineStr">
        <is>
          <t>P107</t>
        </is>
      </c>
      <c r="D65" s="10" t="inlineStr">
        <is>
          <t>Bookshelf Cabinet</t>
        </is>
      </c>
      <c r="E65" s="10" t="inlineStr">
        <is>
          <t>Furniture</t>
        </is>
      </c>
      <c r="F65" s="10" t="inlineStr">
        <is>
          <t>West</t>
        </is>
      </c>
      <c r="G65" s="10" t="n">
        <v>3</v>
      </c>
      <c r="H65" s="10" t="n">
        <v>5950</v>
      </c>
      <c r="I65" s="10" t="n">
        <v>4100</v>
      </c>
    </row>
    <row r="66">
      <c r="A66" s="10" t="inlineStr">
        <is>
          <t>ORD-2024076</t>
        </is>
      </c>
      <c r="B66" s="10" t="inlineStr">
        <is>
          <t>2024-08-14</t>
        </is>
      </c>
      <c r="C66" s="10" t="inlineStr">
        <is>
          <t>P109</t>
        </is>
      </c>
      <c r="D66" s="10" t="inlineStr">
        <is>
          <t>Gel Pen Pack (10x)</t>
        </is>
      </c>
      <c r="E66" s="10" t="inlineStr">
        <is>
          <t>Office Supplies</t>
        </is>
      </c>
      <c r="F66" s="10" t="inlineStr">
        <is>
          <t>West</t>
        </is>
      </c>
      <c r="G66" s="10" t="n">
        <v>9</v>
      </c>
      <c r="H66" s="10" t="n">
        <v>240</v>
      </c>
      <c r="I66" s="10" t="n">
        <v>110</v>
      </c>
    </row>
    <row r="67">
      <c r="A67" s="10" t="inlineStr">
        <is>
          <t>ORD-2024180</t>
        </is>
      </c>
      <c r="B67" s="10" t="inlineStr">
        <is>
          <t>2024-08-05</t>
        </is>
      </c>
      <c r="C67" s="10" t="inlineStr">
        <is>
          <t>P102</t>
        </is>
      </c>
      <c r="D67" s="10" t="inlineStr">
        <is>
          <t>Wireless Mouse</t>
        </is>
      </c>
      <c r="E67" s="10" t="inlineStr">
        <is>
          <t>Electronics</t>
        </is>
      </c>
      <c r="F67" s="10" t="inlineStr">
        <is>
          <t>East</t>
        </is>
      </c>
      <c r="G67" s="10" t="n">
        <v>3</v>
      </c>
      <c r="H67" s="10" t="n">
        <v>750</v>
      </c>
      <c r="I67" s="10" t="n">
        <v>420</v>
      </c>
    </row>
    <row r="68">
      <c r="A68" s="10" t="inlineStr">
        <is>
          <t>ORD-2024060</t>
        </is>
      </c>
      <c r="B68" s="10" t="inlineStr">
        <is>
          <t>2024-10-18</t>
        </is>
      </c>
      <c r="C68" s="10" t="inlineStr">
        <is>
          <t>P104</t>
        </is>
      </c>
      <c r="D68" s="10" t="inlineStr">
        <is>
          <t>Noise-Cancelling Headphones</t>
        </is>
      </c>
      <c r="E68" s="10" t="inlineStr">
        <is>
          <t>Electronics</t>
        </is>
      </c>
      <c r="F68" s="10" t="inlineStr">
        <is>
          <t>East</t>
        </is>
      </c>
      <c r="G68" s="10" t="n">
        <v>1</v>
      </c>
      <c r="H68" s="10" t="n">
        <v>5879.02</v>
      </c>
      <c r="I68" s="10" t="n">
        <v>3600</v>
      </c>
    </row>
    <row r="69">
      <c r="A69" s="10" t="inlineStr">
        <is>
          <t>ORD-2024094</t>
        </is>
      </c>
      <c r="B69" s="10" t="inlineStr">
        <is>
          <t>2024-10-22</t>
        </is>
      </c>
      <c r="C69" s="10" t="inlineStr">
        <is>
          <t>P104</t>
        </is>
      </c>
      <c r="D69" s="10" t="inlineStr">
        <is>
          <t>Noise-Cancelling Headphones</t>
        </is>
      </c>
      <c r="E69" s="10" t="inlineStr">
        <is>
          <t>Electronics</t>
        </is>
      </c>
      <c r="F69" s="10" t="inlineStr">
        <is>
          <t>North</t>
        </is>
      </c>
      <c r="G69" s="10" t="n">
        <v>4</v>
      </c>
      <c r="H69" s="10" t="n">
        <v>5999</v>
      </c>
      <c r="I69" s="10" t="n">
        <v>3600</v>
      </c>
    </row>
    <row r="70">
      <c r="A70" s="10" t="inlineStr">
        <is>
          <t>ORD-2024007</t>
        </is>
      </c>
      <c r="B70" s="10" t="inlineStr">
        <is>
          <t>2024-04-20</t>
        </is>
      </c>
      <c r="C70" s="10" t="inlineStr">
        <is>
          <t>P113</t>
        </is>
      </c>
      <c r="D70" s="10" t="inlineStr">
        <is>
          <t>Laptop Backpack</t>
        </is>
      </c>
      <c r="E70" s="10" t="inlineStr">
        <is>
          <t>Accessories</t>
        </is>
      </c>
      <c r="F70" s="10" t="inlineStr">
        <is>
          <t>South</t>
        </is>
      </c>
      <c r="G70" s="10" t="n">
        <v>2</v>
      </c>
      <c r="H70" s="10" t="n">
        <v>1519.05</v>
      </c>
      <c r="I70" s="10" t="n">
        <v>820</v>
      </c>
    </row>
    <row r="71">
      <c r="A71" s="10" t="inlineStr">
        <is>
          <t>ORD-2024181</t>
        </is>
      </c>
      <c r="B71" s="10" t="inlineStr">
        <is>
          <t>2024-03-13</t>
        </is>
      </c>
      <c r="C71" s="10" t="inlineStr">
        <is>
          <t>P102</t>
        </is>
      </c>
      <c r="D71" s="10" t="inlineStr">
        <is>
          <t>Wireless Mouse</t>
        </is>
      </c>
      <c r="E71" s="10" t="inlineStr">
        <is>
          <t>Electronics</t>
        </is>
      </c>
      <c r="F71" s="10" t="inlineStr">
        <is>
          <t>North</t>
        </is>
      </c>
      <c r="G71" s="10" t="n">
        <v>5</v>
      </c>
      <c r="H71" s="10" t="n">
        <v>735</v>
      </c>
      <c r="I71" s="10" t="n">
        <v>420</v>
      </c>
    </row>
    <row r="72">
      <c r="A72" s="10" t="inlineStr">
        <is>
          <t>ORD-2024031</t>
        </is>
      </c>
      <c r="B72" s="10" t="inlineStr">
        <is>
          <t>2024-01-01</t>
        </is>
      </c>
      <c r="C72" s="10" t="inlineStr">
        <is>
          <t>P110</t>
        </is>
      </c>
      <c r="D72" s="10" t="inlineStr">
        <is>
          <t>A4 Copier Paper (500s)</t>
        </is>
      </c>
      <c r="E72" s="10" t="inlineStr">
        <is>
          <t>Office Supplies</t>
        </is>
      </c>
      <c r="F72" s="10" t="inlineStr">
        <is>
          <t>South</t>
        </is>
      </c>
      <c r="G72" s="10" t="n">
        <v>1</v>
      </c>
      <c r="H72" s="10" t="n">
        <v>320</v>
      </c>
      <c r="I72" s="10" t="n">
        <v>190</v>
      </c>
    </row>
    <row r="73">
      <c r="A73" s="10" t="inlineStr">
        <is>
          <t>ORD-2024023</t>
        </is>
      </c>
      <c r="B73" s="10" t="inlineStr">
        <is>
          <t>2024-03-19</t>
        </is>
      </c>
      <c r="C73" s="10" t="inlineStr">
        <is>
          <t>P111</t>
        </is>
      </c>
      <c r="D73" s="10" t="inlineStr">
        <is>
          <t>Desk Organizer Tray</t>
        </is>
      </c>
      <c r="E73" s="10" t="inlineStr">
        <is>
          <t>Office Supplies</t>
        </is>
      </c>
      <c r="F73" s="10" t="inlineStr">
        <is>
          <t>North</t>
        </is>
      </c>
      <c r="G73" s="10" t="n">
        <v>11</v>
      </c>
      <c r="H73" s="10" t="n">
        <v>456</v>
      </c>
      <c r="I73" s="10" t="n">
        <v>260</v>
      </c>
    </row>
    <row r="74">
      <c r="A74" s="10" t="inlineStr">
        <is>
          <t>ORD-2024261</t>
        </is>
      </c>
      <c r="B74" s="10" t="inlineStr">
        <is>
          <t>2024-11-01</t>
        </is>
      </c>
      <c r="C74" s="10" t="inlineStr">
        <is>
          <t>P101</t>
        </is>
      </c>
      <c r="D74" s="10" t="inlineStr">
        <is>
          <t>Laptop Pro 15</t>
        </is>
      </c>
      <c r="E74" s="10" t="inlineStr">
        <is>
          <t>Electronics</t>
        </is>
      </c>
      <c r="F74" s="10" t="inlineStr">
        <is>
          <t>North</t>
        </is>
      </c>
      <c r="G74" s="10" t="n">
        <v>2</v>
      </c>
      <c r="H74" s="10" t="n">
        <v>55000</v>
      </c>
      <c r="I74" s="10" t="n">
        <v>45000</v>
      </c>
    </row>
    <row r="75">
      <c r="A75" s="10" t="inlineStr">
        <is>
          <t>ORD-2024057</t>
        </is>
      </c>
      <c r="B75" s="10" t="inlineStr">
        <is>
          <t>2024-10-26</t>
        </is>
      </c>
      <c r="C75" s="10" t="inlineStr">
        <is>
          <t>P108</t>
        </is>
      </c>
      <c r="D75" s="10" t="inlineStr">
        <is>
          <t>Executive Desk Lamp</t>
        </is>
      </c>
      <c r="E75" s="10" t="inlineStr">
        <is>
          <t>Furniture</t>
        </is>
      </c>
      <c r="F75" s="10" t="inlineStr">
        <is>
          <t>South</t>
        </is>
      </c>
      <c r="G75" s="10" t="n">
        <v>3</v>
      </c>
      <c r="H75" s="10" t="n">
        <v>1499</v>
      </c>
      <c r="I75" s="10" t="n">
        <v>850</v>
      </c>
    </row>
    <row r="76">
      <c r="A76" s="10" t="inlineStr">
        <is>
          <t>ORD-2024248</t>
        </is>
      </c>
      <c r="B76" s="10" t="inlineStr">
        <is>
          <t>2024-12-24</t>
        </is>
      </c>
      <c r="C76" s="10" t="inlineStr">
        <is>
          <t>P105</t>
        </is>
      </c>
      <c r="D76" s="10" t="inlineStr">
        <is>
          <t>Ergonomic Office Chair</t>
        </is>
      </c>
      <c r="E76" s="10" t="inlineStr">
        <is>
          <t>Furniture</t>
        </is>
      </c>
      <c r="F76" s="10" t="inlineStr">
        <is>
          <t>East</t>
        </is>
      </c>
      <c r="G76" s="10" t="n">
        <v>1</v>
      </c>
      <c r="H76" s="10" t="n">
        <v>9999</v>
      </c>
      <c r="I76" s="10" t="n">
        <v>6800</v>
      </c>
    </row>
    <row r="77">
      <c r="A77" s="10" t="inlineStr">
        <is>
          <t>ORD-2024115</t>
        </is>
      </c>
      <c r="B77" s="10" t="inlineStr">
        <is>
          <t>2024-09-23</t>
        </is>
      </c>
      <c r="C77" s="10" t="inlineStr">
        <is>
          <t>P108</t>
        </is>
      </c>
      <c r="D77" s="10" t="inlineStr">
        <is>
          <t>Executive Desk Lamp</t>
        </is>
      </c>
      <c r="E77" s="10" t="inlineStr">
        <is>
          <t>Furniture</t>
        </is>
      </c>
      <c r="F77" s="10" t="inlineStr">
        <is>
          <t>East</t>
        </is>
      </c>
      <c r="G77" s="10" t="n">
        <v>5</v>
      </c>
      <c r="H77" s="10" t="n">
        <v>1424.05</v>
      </c>
      <c r="I77" s="10" t="n">
        <v>850</v>
      </c>
    </row>
    <row r="78">
      <c r="A78" s="10" t="inlineStr">
        <is>
          <t>ORD-2024133</t>
        </is>
      </c>
      <c r="B78" s="10" t="inlineStr">
        <is>
          <t>2024-01-16</t>
        </is>
      </c>
      <c r="C78" s="10" t="inlineStr">
        <is>
          <t>P104</t>
        </is>
      </c>
      <c r="D78" s="10" t="inlineStr">
        <is>
          <t>Noise-Cancelling Headphones</t>
        </is>
      </c>
      <c r="E78" s="10" t="inlineStr">
        <is>
          <t>Electronics</t>
        </is>
      </c>
      <c r="F78" s="10" t="inlineStr">
        <is>
          <t>North</t>
        </is>
      </c>
      <c r="G78" s="10" t="n">
        <v>1</v>
      </c>
      <c r="H78" s="10" t="n">
        <v>5879.02</v>
      </c>
      <c r="I78" s="10" t="n">
        <v>3600</v>
      </c>
    </row>
    <row r="79">
      <c r="A79" s="10" t="inlineStr">
        <is>
          <t>ORD-2024241</t>
        </is>
      </c>
      <c r="B79" s="10" t="inlineStr">
        <is>
          <t>2024-05-31</t>
        </is>
      </c>
      <c r="C79" s="10" t="inlineStr">
        <is>
          <t>P112</t>
        </is>
      </c>
      <c r="D79" s="10" t="inlineStr">
        <is>
          <t>USB-C Multiport Hub</t>
        </is>
      </c>
      <c r="E79" s="10" t="inlineStr">
        <is>
          <t>Accessories</t>
        </is>
      </c>
      <c r="F79" s="10" t="inlineStr">
        <is>
          <t>West</t>
        </is>
      </c>
      <c r="G79" s="10" t="n">
        <v>13</v>
      </c>
      <c r="H79" s="10" t="n">
        <v>1999</v>
      </c>
      <c r="I79" s="10" t="n">
        <v>1150</v>
      </c>
    </row>
    <row r="80">
      <c r="A80" s="10" t="inlineStr">
        <is>
          <t>ORD-2024205</t>
        </is>
      </c>
      <c r="B80" s="10" t="inlineStr">
        <is>
          <t>2024-09-16</t>
        </is>
      </c>
      <c r="C80" s="10" t="inlineStr">
        <is>
          <t>P105</t>
        </is>
      </c>
      <c r="D80" s="10" t="inlineStr">
        <is>
          <t>Ergonomic Office Chair</t>
        </is>
      </c>
      <c r="E80" s="10" t="inlineStr">
        <is>
          <t>Furniture</t>
        </is>
      </c>
      <c r="F80" s="10" t="inlineStr">
        <is>
          <t>West</t>
        </is>
      </c>
      <c r="G80" s="10" t="n">
        <v>3</v>
      </c>
      <c r="H80" s="10" t="n">
        <v>9999</v>
      </c>
      <c r="I80" s="10" t="n">
        <v>6800</v>
      </c>
    </row>
    <row r="81">
      <c r="A81" s="10" t="inlineStr">
        <is>
          <t>ORD-2024276</t>
        </is>
      </c>
      <c r="B81" s="10" t="inlineStr">
        <is>
          <t>2024-06-22</t>
        </is>
      </c>
      <c r="C81" s="10" t="inlineStr">
        <is>
          <t>P114</t>
        </is>
      </c>
      <c r="D81" s="10" t="inlineStr">
        <is>
          <t>Webcam 1080p HD</t>
        </is>
      </c>
      <c r="E81" s="10" t="inlineStr">
        <is>
          <t>Accessories</t>
        </is>
      </c>
      <c r="F81" s="10" t="inlineStr">
        <is>
          <t>South</t>
        </is>
      </c>
      <c r="G81" s="10" t="n">
        <v>7</v>
      </c>
      <c r="H81" s="10" t="n">
        <v>2450</v>
      </c>
      <c r="I81" s="10" t="n">
        <v>1450</v>
      </c>
    </row>
    <row r="82">
      <c r="A82" s="10" t="inlineStr">
        <is>
          <t>ORD-2024166</t>
        </is>
      </c>
      <c r="B82" s="10" t="inlineStr">
        <is>
          <t>2024-09-02</t>
        </is>
      </c>
      <c r="C82" s="10" t="inlineStr">
        <is>
          <t>P108</t>
        </is>
      </c>
      <c r="D82" s="10" t="inlineStr">
        <is>
          <t>Executive Desk Lamp</t>
        </is>
      </c>
      <c r="E82" s="10" t="inlineStr">
        <is>
          <t>Furniture</t>
        </is>
      </c>
      <c r="F82" s="10" t="inlineStr">
        <is>
          <t>South</t>
        </is>
      </c>
      <c r="G82" s="10" t="n">
        <v>1</v>
      </c>
      <c r="H82" s="10" t="n">
        <v>1499</v>
      </c>
      <c r="I82" s="10" t="n">
        <v>850</v>
      </c>
    </row>
    <row r="83">
      <c r="A83" s="10" t="inlineStr">
        <is>
          <t>ORD-2024221</t>
        </is>
      </c>
      <c r="B83" s="10" t="inlineStr">
        <is>
          <t>2024-06-15</t>
        </is>
      </c>
      <c r="C83" s="10" t="inlineStr">
        <is>
          <t>P113</t>
        </is>
      </c>
      <c r="D83" s="10" t="inlineStr">
        <is>
          <t>Laptop Backpack</t>
        </is>
      </c>
      <c r="E83" s="10" t="inlineStr">
        <is>
          <t>Accessories</t>
        </is>
      </c>
      <c r="F83" s="10" t="inlineStr">
        <is>
          <t>North</t>
        </is>
      </c>
      <c r="G83" s="10" t="n">
        <v>6</v>
      </c>
      <c r="H83" s="10" t="n">
        <v>1599</v>
      </c>
      <c r="I83" s="10" t="n">
        <v>820</v>
      </c>
    </row>
    <row r="84">
      <c r="A84" s="10" t="inlineStr">
        <is>
          <t>ORD-2024085</t>
        </is>
      </c>
      <c r="B84" s="10" t="inlineStr">
        <is>
          <t>2024-03-22</t>
        </is>
      </c>
      <c r="C84" s="10" t="inlineStr">
        <is>
          <t>P113</t>
        </is>
      </c>
      <c r="D84" s="10" t="inlineStr">
        <is>
          <t>Laptop Backpack</t>
        </is>
      </c>
      <c r="E84" s="10" t="inlineStr">
        <is>
          <t>Accessories</t>
        </is>
      </c>
      <c r="F84" s="10" t="inlineStr">
        <is>
          <t>West</t>
        </is>
      </c>
      <c r="G84" s="10" t="n">
        <v>7</v>
      </c>
      <c r="H84" s="10" t="n">
        <v>1599</v>
      </c>
      <c r="I84" s="10" t="n">
        <v>820</v>
      </c>
    </row>
    <row r="85">
      <c r="A85" s="10" t="inlineStr">
        <is>
          <t>ORD-2024067</t>
        </is>
      </c>
      <c r="B85" s="10" t="inlineStr">
        <is>
          <t>2024-02-05</t>
        </is>
      </c>
      <c r="C85" s="10" t="inlineStr">
        <is>
          <t>P104</t>
        </is>
      </c>
      <c r="D85" s="10" t="inlineStr">
        <is>
          <t>Noise-Cancelling Headphones</t>
        </is>
      </c>
      <c r="E85" s="10" t="inlineStr">
        <is>
          <t>Electronics</t>
        </is>
      </c>
      <c r="F85" s="10" t="inlineStr">
        <is>
          <t>South</t>
        </is>
      </c>
      <c r="G85" s="10" t="n">
        <v>2</v>
      </c>
      <c r="H85" s="10" t="n">
        <v>5699.05</v>
      </c>
      <c r="I85" s="10" t="n">
        <v>3600</v>
      </c>
    </row>
    <row r="86">
      <c r="A86" s="10" t="inlineStr">
        <is>
          <t>ORD-2024114</t>
        </is>
      </c>
      <c r="B86" s="10" t="inlineStr">
        <is>
          <t>2024-08-31</t>
        </is>
      </c>
      <c r="C86" s="10" t="inlineStr">
        <is>
          <t>P108</t>
        </is>
      </c>
      <c r="D86" s="10" t="inlineStr">
        <is>
          <t>Executive Desk Lamp</t>
        </is>
      </c>
      <c r="E86" s="10" t="inlineStr">
        <is>
          <t>Furniture</t>
        </is>
      </c>
      <c r="F86" s="10" t="inlineStr">
        <is>
          <t>North</t>
        </is>
      </c>
      <c r="G86" s="10" t="n">
        <v>4</v>
      </c>
      <c r="H86" s="10" t="n">
        <v>1499</v>
      </c>
      <c r="I86" s="10" t="n">
        <v>850</v>
      </c>
    </row>
    <row r="87">
      <c r="A87" s="10" t="inlineStr">
        <is>
          <t>ORD-2024169</t>
        </is>
      </c>
      <c r="B87" s="10" t="inlineStr">
        <is>
          <t>2024-03-17</t>
        </is>
      </c>
      <c r="C87" s="10" t="inlineStr">
        <is>
          <t>P113</t>
        </is>
      </c>
      <c r="D87" s="10" t="inlineStr">
        <is>
          <t>Laptop Backpack</t>
        </is>
      </c>
      <c r="E87" s="10" t="inlineStr">
        <is>
          <t>Accessories</t>
        </is>
      </c>
      <c r="F87" s="10" t="inlineStr">
        <is>
          <t>East</t>
        </is>
      </c>
      <c r="G87" s="10" t="n">
        <v>5</v>
      </c>
      <c r="H87" s="10" t="n">
        <v>1599</v>
      </c>
      <c r="I87" s="10" t="n">
        <v>820</v>
      </c>
    </row>
    <row r="88">
      <c r="A88" s="10" t="inlineStr">
        <is>
          <t>ORD-2024147</t>
        </is>
      </c>
      <c r="B88" s="10" t="inlineStr">
        <is>
          <t>2024-05-17</t>
        </is>
      </c>
      <c r="C88" s="10" t="inlineStr">
        <is>
          <t>P106</t>
        </is>
      </c>
      <c r="D88" s="10" t="inlineStr">
        <is>
          <t>Standing Desk</t>
        </is>
      </c>
      <c r="E88" s="10" t="inlineStr">
        <is>
          <t>Furniture</t>
        </is>
      </c>
      <c r="F88" s="10" t="inlineStr">
        <is>
          <t>West</t>
        </is>
      </c>
      <c r="G88" s="10" t="n">
        <v>1</v>
      </c>
      <c r="H88" s="10" t="n">
        <v>18500</v>
      </c>
      <c r="I88" s="10" t="n">
        <v>12500</v>
      </c>
    </row>
    <row r="89">
      <c r="A89" s="10" t="inlineStr">
        <is>
          <t>ORD-2024020</t>
        </is>
      </c>
      <c r="B89" s="10" t="inlineStr">
        <is>
          <t>2024-05-15</t>
        </is>
      </c>
      <c r="C89" s="10" t="inlineStr">
        <is>
          <t>P103</t>
        </is>
      </c>
      <c r="D89" s="10" t="inlineStr">
        <is>
          <t>Mechanical Keyboard</t>
        </is>
      </c>
      <c r="E89" s="10" t="inlineStr">
        <is>
          <t>Electronics</t>
        </is>
      </c>
      <c r="F89" s="10" t="inlineStr">
        <is>
          <t>North</t>
        </is>
      </c>
      <c r="G89" s="10" t="n">
        <v>3</v>
      </c>
      <c r="H89" s="10" t="n">
        <v>2744</v>
      </c>
      <c r="I89" s="10" t="n">
        <v>1850</v>
      </c>
    </row>
    <row r="90">
      <c r="A90" s="10" t="inlineStr">
        <is>
          <t>ORD-2024145</t>
        </is>
      </c>
      <c r="B90" s="10" t="inlineStr">
        <is>
          <t>2024-12-28</t>
        </is>
      </c>
      <c r="C90" s="10" t="inlineStr">
        <is>
          <t>P103</t>
        </is>
      </c>
      <c r="D90" s="10" t="inlineStr">
        <is>
          <t>Mechanical Keyboard</t>
        </is>
      </c>
      <c r="E90" s="10" t="inlineStr">
        <is>
          <t>Electronics</t>
        </is>
      </c>
      <c r="F90" s="10" t="inlineStr">
        <is>
          <t>South</t>
        </is>
      </c>
      <c r="G90" s="10" t="n">
        <v>3</v>
      </c>
      <c r="H90" s="10" t="n">
        <v>2744</v>
      </c>
      <c r="I90" s="10" t="n">
        <v>1850</v>
      </c>
    </row>
    <row r="91">
      <c r="A91" s="10" t="inlineStr">
        <is>
          <t>ORD-2024080</t>
        </is>
      </c>
      <c r="B91" s="10" t="inlineStr">
        <is>
          <t>2024-07-02</t>
        </is>
      </c>
      <c r="C91" s="10" t="inlineStr">
        <is>
          <t>P104</t>
        </is>
      </c>
      <c r="D91" s="10" t="inlineStr">
        <is>
          <t>Noise-Cancelling Headphones</t>
        </is>
      </c>
      <c r="E91" s="10" t="inlineStr">
        <is>
          <t>Electronics</t>
        </is>
      </c>
      <c r="F91" s="10" t="inlineStr">
        <is>
          <t>East</t>
        </is>
      </c>
      <c r="G91" s="10" t="n">
        <v>1</v>
      </c>
      <c r="H91" s="10" t="n">
        <v>5999</v>
      </c>
      <c r="I91" s="10" t="n">
        <v>3600</v>
      </c>
    </row>
    <row r="92">
      <c r="A92" s="10" t="inlineStr">
        <is>
          <t>ORD-2024256</t>
        </is>
      </c>
      <c r="B92" s="10" t="inlineStr">
        <is>
          <t>2024-07-22</t>
        </is>
      </c>
      <c r="C92" s="10" t="inlineStr">
        <is>
          <t>P105</t>
        </is>
      </c>
      <c r="D92" s="10" t="inlineStr">
        <is>
          <t>Ergonomic Office Chair</t>
        </is>
      </c>
      <c r="E92" s="10" t="inlineStr">
        <is>
          <t>Furniture</t>
        </is>
      </c>
      <c r="F92" s="10" t="inlineStr">
        <is>
          <t>North</t>
        </is>
      </c>
      <c r="G92" s="10" t="n">
        <v>1</v>
      </c>
      <c r="H92" s="10" t="n">
        <v>9499.049999999999</v>
      </c>
      <c r="I92" s="10" t="n">
        <v>6800</v>
      </c>
    </row>
    <row r="93">
      <c r="A93" s="10" t="inlineStr">
        <is>
          <t>ORD-2024125</t>
        </is>
      </c>
      <c r="B93" s="10" t="inlineStr">
        <is>
          <t>2024-01-15</t>
        </is>
      </c>
      <c r="C93" s="10" t="inlineStr">
        <is>
          <t>P107</t>
        </is>
      </c>
      <c r="D93" s="10" t="inlineStr">
        <is>
          <t>Bookshelf Cabinet</t>
        </is>
      </c>
      <c r="E93" s="10" t="inlineStr">
        <is>
          <t>Furniture</t>
        </is>
      </c>
      <c r="F93" s="10" t="inlineStr">
        <is>
          <t>South</t>
        </is>
      </c>
      <c r="G93" s="10" t="n">
        <v>4</v>
      </c>
      <c r="H93" s="10" t="n">
        <v>5950</v>
      </c>
      <c r="I93" s="10" t="n">
        <v>4100</v>
      </c>
    </row>
    <row r="94">
      <c r="A94" s="10" t="inlineStr">
        <is>
          <t>ORD-2024073</t>
        </is>
      </c>
      <c r="B94" s="10" t="inlineStr">
        <is>
          <t>2024-09-07</t>
        </is>
      </c>
      <c r="C94" s="10" t="inlineStr">
        <is>
          <t>P105</t>
        </is>
      </c>
      <c r="D94" s="10" t="inlineStr">
        <is>
          <t>Ergonomic Office Chair</t>
        </is>
      </c>
      <c r="E94" s="10" t="inlineStr">
        <is>
          <t>Furniture</t>
        </is>
      </c>
      <c r="F94" s="10" t="inlineStr">
        <is>
          <t>Central</t>
        </is>
      </c>
      <c r="G94" s="10" t="n">
        <v>1</v>
      </c>
      <c r="H94" s="10" t="n">
        <v>9999</v>
      </c>
      <c r="I94" s="10" t="n">
        <v>6800</v>
      </c>
    </row>
    <row r="95">
      <c r="A95" s="10" t="inlineStr">
        <is>
          <t>ORD-2024016</t>
        </is>
      </c>
      <c r="B95" s="10" t="inlineStr">
        <is>
          <t>2024-03-24</t>
        </is>
      </c>
      <c r="C95" s="10" t="inlineStr">
        <is>
          <t>P108</t>
        </is>
      </c>
      <c r="D95" s="10" t="inlineStr">
        <is>
          <t>Executive Desk Lamp</t>
        </is>
      </c>
      <c r="E95" s="10" t="inlineStr">
        <is>
          <t>Furniture</t>
        </is>
      </c>
      <c r="F95" s="10" t="inlineStr">
        <is>
          <t>South</t>
        </is>
      </c>
      <c r="G95" s="10" t="n">
        <v>4</v>
      </c>
      <c r="H95" s="10" t="n">
        <v>1499</v>
      </c>
      <c r="I95" s="10" t="n">
        <v>850</v>
      </c>
    </row>
    <row r="96">
      <c r="A96" s="10" t="inlineStr">
        <is>
          <t>ORD-2024011</t>
        </is>
      </c>
      <c r="B96" s="10" t="inlineStr">
        <is>
          <t>2024-07-04</t>
        </is>
      </c>
      <c r="C96" s="10" t="inlineStr">
        <is>
          <t>P110</t>
        </is>
      </c>
      <c r="D96" s="10" t="inlineStr">
        <is>
          <t>A4 Copier Paper (500s)</t>
        </is>
      </c>
      <c r="E96" s="10" t="inlineStr">
        <is>
          <t>Office Supplies</t>
        </is>
      </c>
      <c r="F96" s="10" t="inlineStr">
        <is>
          <t>North</t>
        </is>
      </c>
      <c r="G96" s="10" t="n">
        <v>2</v>
      </c>
      <c r="H96" s="10" t="n">
        <v>320</v>
      </c>
      <c r="I96" s="10" t="n">
        <v>190</v>
      </c>
    </row>
    <row r="97">
      <c r="A97" s="10" t="inlineStr">
        <is>
          <t>ORD-2024165</t>
        </is>
      </c>
      <c r="B97" s="10" t="inlineStr">
        <is>
          <t>2024-02-22</t>
        </is>
      </c>
      <c r="C97" s="10" t="inlineStr">
        <is>
          <t>P114</t>
        </is>
      </c>
      <c r="D97" s="10" t="inlineStr">
        <is>
          <t>Webcam 1080p HD</t>
        </is>
      </c>
      <c r="E97" s="10" t="inlineStr">
        <is>
          <t>Accessories</t>
        </is>
      </c>
      <c r="F97" s="10" t="inlineStr">
        <is>
          <t>North</t>
        </is>
      </c>
      <c r="G97" s="10" t="n">
        <v>5</v>
      </c>
      <c r="H97" s="10" t="n">
        <v>2327.5</v>
      </c>
      <c r="I97" s="10" t="n">
        <v>1450</v>
      </c>
    </row>
    <row r="98">
      <c r="A98" s="10" t="inlineStr">
        <is>
          <t>ORD-2024250</t>
        </is>
      </c>
      <c r="B98" s="10" t="inlineStr">
        <is>
          <t>2024-02-19</t>
        </is>
      </c>
      <c r="C98" s="10" t="inlineStr">
        <is>
          <t>P104</t>
        </is>
      </c>
      <c r="D98" s="10" t="inlineStr">
        <is>
          <t>Noise-Cancelling Headphones</t>
        </is>
      </c>
      <c r="E98" s="10" t="inlineStr">
        <is>
          <t>Electronics</t>
        </is>
      </c>
      <c r="F98" s="10" t="inlineStr">
        <is>
          <t>West</t>
        </is>
      </c>
      <c r="G98" s="10" t="n">
        <v>2</v>
      </c>
      <c r="H98" s="10" t="n">
        <v>5699.05</v>
      </c>
      <c r="I98" s="10" t="n">
        <v>3600</v>
      </c>
    </row>
    <row r="99">
      <c r="A99" s="10" t="inlineStr">
        <is>
          <t>ORD-2024098</t>
        </is>
      </c>
      <c r="B99" s="10" t="inlineStr">
        <is>
          <t>2024-09-16</t>
        </is>
      </c>
      <c r="C99" s="10" t="inlineStr">
        <is>
          <t>P105</t>
        </is>
      </c>
      <c r="D99" s="10" t="inlineStr">
        <is>
          <t>Ergonomic Office Chair</t>
        </is>
      </c>
      <c r="E99" s="10" t="inlineStr">
        <is>
          <t>Furniture</t>
        </is>
      </c>
      <c r="F99" s="10" t="inlineStr">
        <is>
          <t>East</t>
        </is>
      </c>
      <c r="G99" s="10" t="n">
        <v>3</v>
      </c>
      <c r="H99" s="10" t="n">
        <v>9499.049999999999</v>
      </c>
      <c r="I99" s="10" t="n">
        <v>6800</v>
      </c>
    </row>
    <row r="100">
      <c r="A100" s="10" t="inlineStr">
        <is>
          <t>ORD-2024069</t>
        </is>
      </c>
      <c r="B100" s="10" t="inlineStr">
        <is>
          <t>2024-01-05</t>
        </is>
      </c>
      <c r="C100" s="10" t="inlineStr">
        <is>
          <t>P111</t>
        </is>
      </c>
      <c r="D100" s="10" t="inlineStr">
        <is>
          <t>Desk Organizer Tray</t>
        </is>
      </c>
      <c r="E100" s="10" t="inlineStr">
        <is>
          <t>Office Supplies</t>
        </is>
      </c>
      <c r="F100" s="10" t="inlineStr">
        <is>
          <t>West</t>
        </is>
      </c>
      <c r="G100" s="10" t="n">
        <v>5</v>
      </c>
      <c r="H100" s="10" t="n">
        <v>480</v>
      </c>
      <c r="I100" s="10" t="n">
        <v>260</v>
      </c>
    </row>
    <row r="101">
      <c r="A101" s="10" t="inlineStr">
        <is>
          <t>ORD-2024234</t>
        </is>
      </c>
      <c r="B101" s="10" t="inlineStr">
        <is>
          <t>2024-11-06</t>
        </is>
      </c>
      <c r="C101" s="10" t="inlineStr">
        <is>
          <t>P113</t>
        </is>
      </c>
      <c r="D101" s="10" t="inlineStr">
        <is>
          <t>Laptop Backpack</t>
        </is>
      </c>
      <c r="E101" s="10" t="inlineStr">
        <is>
          <t>Accessories</t>
        </is>
      </c>
      <c r="F101" s="10" t="inlineStr">
        <is>
          <t>South</t>
        </is>
      </c>
      <c r="G101" s="10" t="n">
        <v>11</v>
      </c>
      <c r="H101" s="10" t="n">
        <v>1599</v>
      </c>
      <c r="I101" s="10" t="n">
        <v>820</v>
      </c>
    </row>
    <row r="102">
      <c r="A102" s="10" t="inlineStr">
        <is>
          <t>ORD-2024038</t>
        </is>
      </c>
      <c r="B102" s="10" t="inlineStr">
        <is>
          <t>2024-08-12</t>
        </is>
      </c>
      <c r="C102" s="10" t="inlineStr">
        <is>
          <t>P109</t>
        </is>
      </c>
      <c r="D102" s="10" t="inlineStr">
        <is>
          <t>Gel Pen Pack (10x)</t>
        </is>
      </c>
      <c r="E102" s="10" t="inlineStr">
        <is>
          <t>Office Supplies</t>
        </is>
      </c>
      <c r="F102" s="10" t="inlineStr">
        <is>
          <t>South</t>
        </is>
      </c>
      <c r="G102" s="10" t="n">
        <v>4</v>
      </c>
      <c r="H102" s="10" t="n">
        <v>240</v>
      </c>
      <c r="I102" s="10" t="n">
        <v>110</v>
      </c>
    </row>
    <row r="103">
      <c r="A103" s="10" t="inlineStr">
        <is>
          <t>ORD-2024017</t>
        </is>
      </c>
      <c r="B103" s="10" t="inlineStr">
        <is>
          <t>2024-01-29</t>
        </is>
      </c>
      <c r="C103" s="10" t="inlineStr">
        <is>
          <t>P104</t>
        </is>
      </c>
      <c r="D103" s="10" t="inlineStr">
        <is>
          <t>Noise-Cancelling Headphones</t>
        </is>
      </c>
      <c r="E103" s="10" t="inlineStr">
        <is>
          <t>Electronics</t>
        </is>
      </c>
      <c r="F103" s="10" t="inlineStr">
        <is>
          <t>West</t>
        </is>
      </c>
      <c r="G103" s="10" t="n">
        <v>3</v>
      </c>
      <c r="H103" s="10" t="n">
        <v>5699.05</v>
      </c>
      <c r="I103" s="10" t="n">
        <v>3600</v>
      </c>
    </row>
    <row r="104">
      <c r="A104" s="10" t="inlineStr">
        <is>
          <t>ORD-2024127</t>
        </is>
      </c>
      <c r="B104" s="10" t="inlineStr">
        <is>
          <t>2024-10-30</t>
        </is>
      </c>
      <c r="C104" s="10" t="inlineStr">
        <is>
          <t>P110</t>
        </is>
      </c>
      <c r="D104" s="10" t="inlineStr">
        <is>
          <t>A4 Copier Paper (500s)</t>
        </is>
      </c>
      <c r="E104" s="10" t="inlineStr">
        <is>
          <t>Office Supplies</t>
        </is>
      </c>
      <c r="F104" s="10" t="inlineStr">
        <is>
          <t>East</t>
        </is>
      </c>
      <c r="G104" s="10" t="n">
        <v>2</v>
      </c>
      <c r="H104" s="10" t="n">
        <v>304</v>
      </c>
      <c r="I104" s="10" t="n">
        <v>190</v>
      </c>
    </row>
    <row r="105">
      <c r="A105" s="10" t="inlineStr">
        <is>
          <t>ORD-2024153</t>
        </is>
      </c>
      <c r="B105" s="10" t="inlineStr">
        <is>
          <t>2024-10-11</t>
        </is>
      </c>
      <c r="C105" s="10" t="inlineStr">
        <is>
          <t>P113</t>
        </is>
      </c>
      <c r="D105" s="10" t="inlineStr">
        <is>
          <t>Laptop Backpack</t>
        </is>
      </c>
      <c r="E105" s="10" t="inlineStr">
        <is>
          <t>Accessories</t>
        </is>
      </c>
      <c r="F105" s="10" t="inlineStr">
        <is>
          <t>North</t>
        </is>
      </c>
      <c r="G105" s="10" t="n">
        <v>8</v>
      </c>
      <c r="H105" s="10" t="n">
        <v>1519.05</v>
      </c>
      <c r="I105" s="10" t="n">
        <v>820</v>
      </c>
    </row>
    <row r="106">
      <c r="A106" s="10" t="inlineStr">
        <is>
          <t>ORD-2024290</t>
        </is>
      </c>
      <c r="B106" s="10" t="inlineStr">
        <is>
          <t>2024-12-02</t>
        </is>
      </c>
      <c r="C106" s="10" t="inlineStr">
        <is>
          <t>P107</t>
        </is>
      </c>
      <c r="D106" s="10" t="inlineStr">
        <is>
          <t>Bookshelf Cabinet</t>
        </is>
      </c>
      <c r="E106" s="10" t="inlineStr">
        <is>
          <t>Furniture</t>
        </is>
      </c>
      <c r="F106" s="10" t="inlineStr">
        <is>
          <t>North</t>
        </is>
      </c>
      <c r="G106" s="10" t="n">
        <v>1</v>
      </c>
      <c r="H106" s="10" t="n">
        <v>5950</v>
      </c>
      <c r="I106" s="10" t="n">
        <v>4100</v>
      </c>
    </row>
    <row r="107">
      <c r="A107" s="10" t="inlineStr">
        <is>
          <t>ORD-2024068</t>
        </is>
      </c>
      <c r="B107" s="10" t="inlineStr">
        <is>
          <t>2024-10-05</t>
        </is>
      </c>
      <c r="C107" s="10" t="inlineStr">
        <is>
          <t>P112</t>
        </is>
      </c>
      <c r="D107" s="10" t="inlineStr">
        <is>
          <t>USB-C Multiport Hub</t>
        </is>
      </c>
      <c r="E107" s="10" t="inlineStr">
        <is>
          <t>Accessories</t>
        </is>
      </c>
      <c r="F107" s="10" t="inlineStr">
        <is>
          <t>South</t>
        </is>
      </c>
      <c r="G107" s="10" t="n">
        <v>13</v>
      </c>
      <c r="H107" s="10" t="n">
        <v>1959.02</v>
      </c>
      <c r="I107" s="10" t="n">
        <v>1150</v>
      </c>
    </row>
    <row r="108">
      <c r="A108" s="10" t="inlineStr">
        <is>
          <t>ORD-2024109</t>
        </is>
      </c>
      <c r="B108" s="10" t="inlineStr">
        <is>
          <t>2024-08-05</t>
        </is>
      </c>
      <c r="C108" s="10" t="inlineStr">
        <is>
          <t>P104</t>
        </is>
      </c>
      <c r="D108" s="10" t="inlineStr">
        <is>
          <t>Noise-Cancelling Headphones</t>
        </is>
      </c>
      <c r="E108" s="10" t="inlineStr">
        <is>
          <t>Electronics</t>
        </is>
      </c>
      <c r="F108" s="10" t="inlineStr">
        <is>
          <t>North</t>
        </is>
      </c>
      <c r="G108" s="10" t="n">
        <v>4</v>
      </c>
      <c r="H108" s="10" t="n">
        <v>5999</v>
      </c>
      <c r="I108" s="10" t="n">
        <v>3600</v>
      </c>
    </row>
    <row r="109">
      <c r="A109" s="10" t="inlineStr">
        <is>
          <t>ORD-2024070</t>
        </is>
      </c>
      <c r="B109" s="10" t="inlineStr">
        <is>
          <t>2024-03-09</t>
        </is>
      </c>
      <c r="C109" s="10" t="inlineStr">
        <is>
          <t>P105</t>
        </is>
      </c>
      <c r="D109" s="10" t="inlineStr">
        <is>
          <t>Ergonomic Office Chair</t>
        </is>
      </c>
      <c r="E109" s="10" t="inlineStr">
        <is>
          <t>Furniture</t>
        </is>
      </c>
      <c r="F109" s="10" t="inlineStr">
        <is>
          <t>North</t>
        </is>
      </c>
      <c r="G109" s="10" t="n">
        <v>1</v>
      </c>
      <c r="H109" s="10" t="n">
        <v>9799.02</v>
      </c>
      <c r="I109" s="10" t="n">
        <v>6800</v>
      </c>
    </row>
    <row r="110">
      <c r="A110" s="10" t="inlineStr">
        <is>
          <t>ORD-2024032</t>
        </is>
      </c>
      <c r="B110" s="10" t="inlineStr">
        <is>
          <t>2024-07-04</t>
        </is>
      </c>
      <c r="C110" s="10" t="inlineStr">
        <is>
          <t>P114</t>
        </is>
      </c>
      <c r="D110" s="10" t="inlineStr">
        <is>
          <t>Webcam 1080p HD</t>
        </is>
      </c>
      <c r="E110" s="10" t="inlineStr">
        <is>
          <t>Accessories</t>
        </is>
      </c>
      <c r="F110" s="10" t="inlineStr">
        <is>
          <t>West</t>
        </is>
      </c>
      <c r="G110" s="10" t="n">
        <v>4</v>
      </c>
      <c r="H110" s="10" t="n">
        <v>2450</v>
      </c>
      <c r="I110" s="10" t="n">
        <v>1450</v>
      </c>
    </row>
    <row r="111">
      <c r="A111" s="10" t="inlineStr">
        <is>
          <t>ORD-2024182</t>
        </is>
      </c>
      <c r="B111" s="10" t="inlineStr">
        <is>
          <t>2024-10-18</t>
        </is>
      </c>
      <c r="C111" s="10" t="inlineStr">
        <is>
          <t>P105</t>
        </is>
      </c>
      <c r="D111" s="10" t="inlineStr">
        <is>
          <t>Ergonomic Office Chair</t>
        </is>
      </c>
      <c r="E111" s="10" t="inlineStr">
        <is>
          <t>Furniture</t>
        </is>
      </c>
      <c r="F111" s="10" t="inlineStr">
        <is>
          <t>South</t>
        </is>
      </c>
      <c r="G111" s="10" t="n">
        <v>4</v>
      </c>
      <c r="H111" s="10" t="n">
        <v>9999</v>
      </c>
      <c r="I111" s="10" t="n">
        <v>6800</v>
      </c>
    </row>
    <row r="112">
      <c r="A112" s="10" t="inlineStr">
        <is>
          <t>ORD-2024156</t>
        </is>
      </c>
      <c r="B112" s="10" t="inlineStr">
        <is>
          <t>2024-07-07</t>
        </is>
      </c>
      <c r="C112" s="10" t="inlineStr">
        <is>
          <t>P108</t>
        </is>
      </c>
      <c r="D112" s="10" t="inlineStr">
        <is>
          <t>Executive Desk Lamp</t>
        </is>
      </c>
      <c r="E112" s="10" t="inlineStr">
        <is>
          <t>Furniture</t>
        </is>
      </c>
      <c r="F112" s="10" t="inlineStr">
        <is>
          <t>East</t>
        </is>
      </c>
      <c r="G112" s="10" t="n">
        <v>6</v>
      </c>
      <c r="H112" s="10" t="n">
        <v>1424.05</v>
      </c>
      <c r="I112" s="10" t="n">
        <v>850</v>
      </c>
    </row>
    <row r="113">
      <c r="A113" s="10" t="inlineStr">
        <is>
          <t>ORD-2024235</t>
        </is>
      </c>
      <c r="B113" s="10" t="inlineStr">
        <is>
          <t>2024-11-13</t>
        </is>
      </c>
      <c r="C113" s="10" t="inlineStr">
        <is>
          <t>P105</t>
        </is>
      </c>
      <c r="D113" s="10" t="inlineStr">
        <is>
          <t>Ergonomic Office Chair</t>
        </is>
      </c>
      <c r="E113" s="10" t="inlineStr">
        <is>
          <t>Furniture</t>
        </is>
      </c>
      <c r="F113" s="10" t="inlineStr">
        <is>
          <t>East</t>
        </is>
      </c>
      <c r="G113" s="10" t="n">
        <v>2</v>
      </c>
      <c r="H113" s="10" t="n">
        <v>9999</v>
      </c>
      <c r="I113" s="10" t="n">
        <v>6800</v>
      </c>
    </row>
    <row r="114">
      <c r="A114" s="10" t="inlineStr">
        <is>
          <t>ORD-2024299</t>
        </is>
      </c>
      <c r="B114" s="10" t="inlineStr">
        <is>
          <t>2024-01-29</t>
        </is>
      </c>
      <c r="C114" s="10" t="inlineStr">
        <is>
          <t>P101</t>
        </is>
      </c>
      <c r="D114" s="10" t="inlineStr">
        <is>
          <t>Laptop Pro 15</t>
        </is>
      </c>
      <c r="E114" s="10" t="inlineStr">
        <is>
          <t>Electronics</t>
        </is>
      </c>
      <c r="F114" s="10" t="inlineStr">
        <is>
          <t>North</t>
        </is>
      </c>
      <c r="G114" s="10" t="n">
        <v>2</v>
      </c>
      <c r="H114" s="10" t="n">
        <v>55000</v>
      </c>
      <c r="I114" s="10" t="n">
        <v>45000</v>
      </c>
    </row>
    <row r="115">
      <c r="A115" s="10" t="inlineStr">
        <is>
          <t>ORD-2024019</t>
        </is>
      </c>
      <c r="B115" s="10" t="inlineStr">
        <is>
          <t>2024-12-01</t>
        </is>
      </c>
      <c r="C115" s="10" t="inlineStr">
        <is>
          <t>P108</t>
        </is>
      </c>
      <c r="D115" s="10" t="inlineStr">
        <is>
          <t>Executive Desk Lamp</t>
        </is>
      </c>
      <c r="E115" s="10" t="inlineStr">
        <is>
          <t>Furniture</t>
        </is>
      </c>
      <c r="F115" s="10" t="inlineStr">
        <is>
          <t>South</t>
        </is>
      </c>
      <c r="G115" s="10" t="n">
        <v>8</v>
      </c>
      <c r="H115" s="10" t="n">
        <v>1499</v>
      </c>
      <c r="I115" s="10" t="n">
        <v>850</v>
      </c>
    </row>
    <row r="116">
      <c r="A116" s="10" t="inlineStr">
        <is>
          <t>ORD-2024046</t>
        </is>
      </c>
      <c r="B116" s="10" t="inlineStr">
        <is>
          <t>2024-07-29</t>
        </is>
      </c>
      <c r="C116" s="10" t="inlineStr">
        <is>
          <t>P108</t>
        </is>
      </c>
      <c r="D116" s="10" t="inlineStr">
        <is>
          <t>Executive Desk Lamp</t>
        </is>
      </c>
      <c r="E116" s="10" t="inlineStr">
        <is>
          <t>Furniture</t>
        </is>
      </c>
      <c r="F116" s="10" t="inlineStr">
        <is>
          <t>West</t>
        </is>
      </c>
      <c r="G116" s="10" t="n">
        <v>1</v>
      </c>
      <c r="H116" s="10" t="n">
        <v>1499</v>
      </c>
      <c r="I116" s="10" t="n">
        <v>850</v>
      </c>
    </row>
    <row r="117">
      <c r="A117" s="10" t="inlineStr">
        <is>
          <t>ORD-2024097</t>
        </is>
      </c>
      <c r="B117" s="10" t="inlineStr">
        <is>
          <t>2024-06-09</t>
        </is>
      </c>
      <c r="C117" s="10" t="inlineStr">
        <is>
          <t>P111</t>
        </is>
      </c>
      <c r="D117" s="10" t="inlineStr">
        <is>
          <t>Desk Organizer Tray</t>
        </is>
      </c>
      <c r="E117" s="10" t="inlineStr">
        <is>
          <t>Office Supplies</t>
        </is>
      </c>
      <c r="F117" s="10" t="inlineStr">
        <is>
          <t>West</t>
        </is>
      </c>
      <c r="G117" s="10" t="n">
        <v>12</v>
      </c>
      <c r="H117" s="10" t="n">
        <v>480</v>
      </c>
      <c r="I117" s="10" t="n">
        <v>260</v>
      </c>
    </row>
    <row r="118">
      <c r="A118" s="10" t="inlineStr">
        <is>
          <t>ORD-2024138</t>
        </is>
      </c>
      <c r="B118" s="10" t="inlineStr">
        <is>
          <t>2024-10-21</t>
        </is>
      </c>
      <c r="C118" s="10" t="inlineStr">
        <is>
          <t>P111</t>
        </is>
      </c>
      <c r="D118" s="10" t="inlineStr">
        <is>
          <t>Desk Organizer Tray</t>
        </is>
      </c>
      <c r="E118" s="10" t="inlineStr">
        <is>
          <t>Office Supplies</t>
        </is>
      </c>
      <c r="F118" s="10" t="inlineStr">
        <is>
          <t>Central</t>
        </is>
      </c>
      <c r="G118" s="10" t="n">
        <v>7</v>
      </c>
      <c r="H118" s="10" t="n">
        <v>456</v>
      </c>
      <c r="I118" s="10" t="n">
        <v>260</v>
      </c>
    </row>
    <row r="119">
      <c r="A119" s="10" t="inlineStr">
        <is>
          <t>ORD-2024293</t>
        </is>
      </c>
      <c r="B119" s="10" t="inlineStr">
        <is>
          <t>2024-11-01</t>
        </is>
      </c>
      <c r="C119" s="10" t="inlineStr">
        <is>
          <t>P102</t>
        </is>
      </c>
      <c r="D119" s="10" t="inlineStr">
        <is>
          <t>Wireless Mouse</t>
        </is>
      </c>
      <c r="E119" s="10" t="inlineStr">
        <is>
          <t>Electronics</t>
        </is>
      </c>
      <c r="F119" s="10" t="inlineStr">
        <is>
          <t>West</t>
        </is>
      </c>
      <c r="G119" s="10" t="n">
        <v>3</v>
      </c>
      <c r="H119" s="10" t="n">
        <v>750</v>
      </c>
      <c r="I119" s="10" t="n">
        <v>420</v>
      </c>
    </row>
    <row r="120">
      <c r="A120" s="10" t="inlineStr">
        <is>
          <t>ORD-2024087</t>
        </is>
      </c>
      <c r="B120" s="10" t="inlineStr">
        <is>
          <t>2024-06-05</t>
        </is>
      </c>
      <c r="C120" s="10" t="inlineStr">
        <is>
          <t>P114</t>
        </is>
      </c>
      <c r="D120" s="10" t="inlineStr">
        <is>
          <t>Webcam 1080p HD</t>
        </is>
      </c>
      <c r="E120" s="10" t="inlineStr">
        <is>
          <t>Accessories</t>
        </is>
      </c>
      <c r="F120" s="10" t="inlineStr">
        <is>
          <t>West</t>
        </is>
      </c>
      <c r="G120" s="10" t="n">
        <v>4</v>
      </c>
      <c r="H120" s="10" t="n">
        <v>2450</v>
      </c>
      <c r="I120" s="10" t="n">
        <v>1450</v>
      </c>
    </row>
    <row r="121">
      <c r="A121" s="10" t="inlineStr">
        <is>
          <t>ORD-2024259</t>
        </is>
      </c>
      <c r="B121" s="10" t="inlineStr">
        <is>
          <t>2024-10-16</t>
        </is>
      </c>
      <c r="C121" s="10" t="inlineStr">
        <is>
          <t>P104</t>
        </is>
      </c>
      <c r="D121" s="10" t="inlineStr">
        <is>
          <t>Noise-Cancelling Headphones</t>
        </is>
      </c>
      <c r="E121" s="10" t="inlineStr">
        <is>
          <t>Electronics</t>
        </is>
      </c>
      <c r="F121" s="10" t="inlineStr">
        <is>
          <t>North</t>
        </is>
      </c>
      <c r="G121" s="10" t="n">
        <v>2</v>
      </c>
      <c r="H121" s="10" t="n">
        <v>5879.02</v>
      </c>
      <c r="I121" s="10" t="n">
        <v>3600</v>
      </c>
    </row>
    <row r="122">
      <c r="A122" s="10" t="inlineStr">
        <is>
          <t>ORD-2024173</t>
        </is>
      </c>
      <c r="B122" s="10" t="inlineStr">
        <is>
          <t>2024-08-07</t>
        </is>
      </c>
      <c r="C122" s="10" t="inlineStr">
        <is>
          <t>P105</t>
        </is>
      </c>
      <c r="D122" s="10" t="inlineStr">
        <is>
          <t>Ergonomic Office Chair</t>
        </is>
      </c>
      <c r="E122" s="10" t="inlineStr">
        <is>
          <t>Furniture</t>
        </is>
      </c>
      <c r="F122" s="10" t="inlineStr">
        <is>
          <t>East</t>
        </is>
      </c>
      <c r="G122" s="10" t="n">
        <v>1</v>
      </c>
      <c r="H122" s="10" t="n">
        <v>9799.02</v>
      </c>
      <c r="I122" s="10" t="n">
        <v>6800</v>
      </c>
    </row>
    <row r="123">
      <c r="A123" s="10" t="inlineStr">
        <is>
          <t>ORD-2024210</t>
        </is>
      </c>
      <c r="B123" s="10" t="inlineStr">
        <is>
          <t>2024-01-23</t>
        </is>
      </c>
      <c r="C123" s="10" t="inlineStr">
        <is>
          <t>P106</t>
        </is>
      </c>
      <c r="D123" s="10" t="inlineStr">
        <is>
          <t>Standing Desk</t>
        </is>
      </c>
      <c r="E123" s="10" t="inlineStr">
        <is>
          <t>Furniture</t>
        </is>
      </c>
      <c r="F123" s="10" t="inlineStr">
        <is>
          <t>West</t>
        </is>
      </c>
      <c r="G123" s="10" t="n">
        <v>4</v>
      </c>
      <c r="H123" s="10" t="n">
        <v>17575</v>
      </c>
      <c r="I123" s="10" t="n">
        <v>12500</v>
      </c>
    </row>
    <row r="124">
      <c r="A124" s="10" t="inlineStr">
        <is>
          <t>ORD-2024260</t>
        </is>
      </c>
      <c r="B124" s="10" t="inlineStr">
        <is>
          <t>2024-04-20</t>
        </is>
      </c>
      <c r="C124" s="10" t="inlineStr">
        <is>
          <t>P114</t>
        </is>
      </c>
      <c r="D124" s="10" t="inlineStr">
        <is>
          <t>Webcam 1080p HD</t>
        </is>
      </c>
      <c r="E124" s="10" t="inlineStr">
        <is>
          <t>Accessories</t>
        </is>
      </c>
      <c r="F124" s="10" t="inlineStr">
        <is>
          <t>West</t>
        </is>
      </c>
      <c r="G124" s="10" t="n">
        <v>6</v>
      </c>
      <c r="H124" s="10" t="n">
        <v>2450</v>
      </c>
      <c r="I124" s="10" t="n">
        <v>1450</v>
      </c>
    </row>
    <row r="125">
      <c r="A125" s="10" t="inlineStr">
        <is>
          <t>ORD-2024295</t>
        </is>
      </c>
      <c r="B125" s="10" t="inlineStr">
        <is>
          <t>2024-12-04</t>
        </is>
      </c>
      <c r="C125" s="10" t="inlineStr">
        <is>
          <t>P107</t>
        </is>
      </c>
      <c r="D125" s="10" t="inlineStr">
        <is>
          <t>Bookshelf Cabinet</t>
        </is>
      </c>
      <c r="E125" s="10" t="inlineStr">
        <is>
          <t>Furniture</t>
        </is>
      </c>
      <c r="F125" s="10" t="inlineStr">
        <is>
          <t>South</t>
        </is>
      </c>
      <c r="G125" s="10" t="n">
        <v>4</v>
      </c>
      <c r="H125" s="10" t="n">
        <v>5652.5</v>
      </c>
      <c r="I125" s="10" t="n">
        <v>4100</v>
      </c>
    </row>
    <row r="126">
      <c r="A126" s="10" t="inlineStr">
        <is>
          <t>ORD-2024140</t>
        </is>
      </c>
      <c r="B126" s="10" t="inlineStr">
        <is>
          <t>2024-12-22</t>
        </is>
      </c>
      <c r="C126" s="10" t="inlineStr">
        <is>
          <t>P113</t>
        </is>
      </c>
      <c r="D126" s="10" t="inlineStr">
        <is>
          <t>Laptop Backpack</t>
        </is>
      </c>
      <c r="E126" s="10" t="inlineStr">
        <is>
          <t>Accessories</t>
        </is>
      </c>
      <c r="F126" s="10" t="inlineStr">
        <is>
          <t>South</t>
        </is>
      </c>
      <c r="G126" s="10" t="n">
        <v>11</v>
      </c>
      <c r="H126" s="10" t="n">
        <v>1567.02</v>
      </c>
      <c r="I126" s="10" t="n">
        <v>820</v>
      </c>
    </row>
    <row r="127">
      <c r="A127" s="10" t="inlineStr">
        <is>
          <t>ORD-2024243</t>
        </is>
      </c>
      <c r="B127" s="10" t="inlineStr">
        <is>
          <t>2024-10-12</t>
        </is>
      </c>
      <c r="C127" s="10" t="inlineStr">
        <is>
          <t>P106</t>
        </is>
      </c>
      <c r="D127" s="10" t="inlineStr">
        <is>
          <t>Standing Desk</t>
        </is>
      </c>
      <c r="E127" s="10" t="inlineStr">
        <is>
          <t>Furniture</t>
        </is>
      </c>
      <c r="F127" s="10" t="inlineStr">
        <is>
          <t>North</t>
        </is>
      </c>
      <c r="G127" s="10" t="n">
        <v>4</v>
      </c>
      <c r="H127" s="10" t="n">
        <v>18500</v>
      </c>
      <c r="I127" s="10" t="n">
        <v>12500</v>
      </c>
    </row>
    <row r="128">
      <c r="A128" s="10" t="inlineStr">
        <is>
          <t>ORD-2024056</t>
        </is>
      </c>
      <c r="B128" s="10" t="inlineStr">
        <is>
          <t>2024-10-04</t>
        </is>
      </c>
      <c r="C128" s="10" t="inlineStr">
        <is>
          <t>P101</t>
        </is>
      </c>
      <c r="D128" s="10" t="inlineStr">
        <is>
          <t>Laptop Pro 15</t>
        </is>
      </c>
      <c r="E128" s="10" t="inlineStr">
        <is>
          <t>Electronics</t>
        </is>
      </c>
      <c r="F128" s="10" t="inlineStr">
        <is>
          <t>West</t>
        </is>
      </c>
      <c r="G128" s="10" t="n">
        <v>1</v>
      </c>
      <c r="H128" s="10" t="n">
        <v>55000</v>
      </c>
      <c r="I128" s="10" t="n">
        <v>45000</v>
      </c>
    </row>
    <row r="129">
      <c r="A129" s="10" t="inlineStr">
        <is>
          <t>ORD-2024174</t>
        </is>
      </c>
      <c r="B129" s="10" t="inlineStr">
        <is>
          <t>2024-02-20</t>
        </is>
      </c>
      <c r="C129" s="10" t="inlineStr">
        <is>
          <t>P113</t>
        </is>
      </c>
      <c r="D129" s="10" t="inlineStr">
        <is>
          <t>Laptop Backpack</t>
        </is>
      </c>
      <c r="E129" s="10" t="inlineStr">
        <is>
          <t>Accessories</t>
        </is>
      </c>
      <c r="F129" s="10" t="inlineStr">
        <is>
          <t>North</t>
        </is>
      </c>
      <c r="G129" s="10" t="n">
        <v>4</v>
      </c>
      <c r="H129" s="10" t="n">
        <v>1599</v>
      </c>
      <c r="I129" s="10" t="n">
        <v>820</v>
      </c>
    </row>
    <row r="130">
      <c r="A130" s="10" t="inlineStr">
        <is>
          <t>ORD-2024291</t>
        </is>
      </c>
      <c r="B130" s="10" t="inlineStr">
        <is>
          <t>2024-09-28</t>
        </is>
      </c>
      <c r="C130" s="10" t="inlineStr">
        <is>
          <t>P104</t>
        </is>
      </c>
      <c r="D130" s="10" t="inlineStr">
        <is>
          <t>Noise-Cancelling Headphones</t>
        </is>
      </c>
      <c r="E130" s="10" t="inlineStr">
        <is>
          <t>Electronics</t>
        </is>
      </c>
      <c r="F130" s="10" t="inlineStr">
        <is>
          <t>South</t>
        </is>
      </c>
      <c r="G130" s="10" t="n">
        <v>4</v>
      </c>
      <c r="H130" s="10" t="n">
        <v>5999</v>
      </c>
      <c r="I130" s="10" t="n">
        <v>3600</v>
      </c>
    </row>
    <row r="131">
      <c r="A131" s="10" t="inlineStr">
        <is>
          <t>ORD-2024195</t>
        </is>
      </c>
      <c r="B131" s="10" t="inlineStr">
        <is>
          <t>2024-01-28</t>
        </is>
      </c>
      <c r="C131" s="10" t="inlineStr">
        <is>
          <t>P104</t>
        </is>
      </c>
      <c r="D131" s="10" t="inlineStr">
        <is>
          <t>Noise-Cancelling Headphones</t>
        </is>
      </c>
      <c r="E131" s="10" t="inlineStr">
        <is>
          <t>Electronics</t>
        </is>
      </c>
      <c r="F131" s="10" t="inlineStr">
        <is>
          <t>South</t>
        </is>
      </c>
      <c r="G131" s="10" t="n">
        <v>4</v>
      </c>
      <c r="H131" s="10" t="n">
        <v>5699.05</v>
      </c>
      <c r="I131" s="10" t="n">
        <v>3600</v>
      </c>
    </row>
    <row r="132">
      <c r="A132" s="10" t="inlineStr">
        <is>
          <t>ORD-2024269</t>
        </is>
      </c>
      <c r="B132" s="10" t="inlineStr">
        <is>
          <t>2024-02-01</t>
        </is>
      </c>
      <c r="C132" s="10" t="inlineStr">
        <is>
          <t>P108</t>
        </is>
      </c>
      <c r="D132" s="10" t="inlineStr">
        <is>
          <t>Executive Desk Lamp</t>
        </is>
      </c>
      <c r="E132" s="10" t="inlineStr">
        <is>
          <t>Furniture</t>
        </is>
      </c>
      <c r="F132" s="10" t="inlineStr">
        <is>
          <t>West</t>
        </is>
      </c>
      <c r="G132" s="10" t="n">
        <v>7</v>
      </c>
      <c r="H132" s="10" t="n">
        <v>1499</v>
      </c>
      <c r="I132" s="10" t="n">
        <v>850</v>
      </c>
    </row>
    <row r="133">
      <c r="A133" s="10" t="inlineStr">
        <is>
          <t>ORD-2024130</t>
        </is>
      </c>
      <c r="B133" s="10" t="inlineStr">
        <is>
          <t>2024-07-13</t>
        </is>
      </c>
      <c r="C133" s="10" t="inlineStr">
        <is>
          <t>P105</t>
        </is>
      </c>
      <c r="D133" s="10" t="inlineStr">
        <is>
          <t>Ergonomic Office Chair</t>
        </is>
      </c>
      <c r="E133" s="10" t="inlineStr">
        <is>
          <t>Furniture</t>
        </is>
      </c>
      <c r="F133" s="10" t="inlineStr">
        <is>
          <t>West</t>
        </is>
      </c>
      <c r="G133" s="10" t="n">
        <v>4</v>
      </c>
      <c r="H133" s="10" t="n">
        <v>9999</v>
      </c>
      <c r="I133" s="10" t="n">
        <v>6800</v>
      </c>
    </row>
    <row r="134">
      <c r="A134" s="10" t="inlineStr">
        <is>
          <t>ORD-2024039</t>
        </is>
      </c>
      <c r="B134" s="10" t="inlineStr">
        <is>
          <t>2024-02-02</t>
        </is>
      </c>
      <c r="C134" s="10" t="inlineStr">
        <is>
          <t>P106</t>
        </is>
      </c>
      <c r="D134" s="10" t="inlineStr">
        <is>
          <t>Standing Desk</t>
        </is>
      </c>
      <c r="E134" s="10" t="inlineStr">
        <is>
          <t>Furniture</t>
        </is>
      </c>
      <c r="F134" s="10" t="inlineStr">
        <is>
          <t>North</t>
        </is>
      </c>
      <c r="G134" s="10" t="n">
        <v>2</v>
      </c>
      <c r="H134" s="10" t="n">
        <v>18130</v>
      </c>
      <c r="I134" s="10" t="n">
        <v>12500</v>
      </c>
    </row>
    <row r="135">
      <c r="A135" s="10" t="inlineStr">
        <is>
          <t>ORD-2024203</t>
        </is>
      </c>
      <c r="B135" s="10" t="inlineStr">
        <is>
          <t>2024-04-07</t>
        </is>
      </c>
      <c r="C135" s="10" t="inlineStr">
        <is>
          <t>P110</t>
        </is>
      </c>
      <c r="D135" s="10" t="inlineStr">
        <is>
          <t>A4 Copier Paper (500s)</t>
        </is>
      </c>
      <c r="E135" s="10" t="inlineStr">
        <is>
          <t>Office Supplies</t>
        </is>
      </c>
      <c r="F135" s="10" t="inlineStr">
        <is>
          <t>South</t>
        </is>
      </c>
      <c r="G135" s="10" t="n">
        <v>15</v>
      </c>
      <c r="H135" s="10" t="n">
        <v>320</v>
      </c>
      <c r="I135" s="10" t="n">
        <v>190</v>
      </c>
    </row>
    <row r="136">
      <c r="A136" s="10" t="inlineStr">
        <is>
          <t>ORD-2024176</t>
        </is>
      </c>
      <c r="B136" s="10" t="inlineStr">
        <is>
          <t>2024-02-08</t>
        </is>
      </c>
      <c r="C136" s="10" t="inlineStr">
        <is>
          <t>P103</t>
        </is>
      </c>
      <c r="D136" s="10" t="inlineStr">
        <is>
          <t>Mechanical Keyboard</t>
        </is>
      </c>
      <c r="E136" s="10" t="inlineStr">
        <is>
          <t>Electronics</t>
        </is>
      </c>
      <c r="F136" s="10" t="inlineStr">
        <is>
          <t>North</t>
        </is>
      </c>
      <c r="G136" s="10" t="n">
        <v>4</v>
      </c>
      <c r="H136" s="10" t="n">
        <v>2744</v>
      </c>
      <c r="I136" s="10" t="n">
        <v>1850</v>
      </c>
    </row>
    <row r="137">
      <c r="A137" s="10" t="inlineStr">
        <is>
          <t>ORD-2024187</t>
        </is>
      </c>
      <c r="B137" s="10" t="inlineStr">
        <is>
          <t>2024-01-21</t>
        </is>
      </c>
      <c r="C137" s="10" t="inlineStr">
        <is>
          <t>P113</t>
        </is>
      </c>
      <c r="D137" s="10" t="inlineStr">
        <is>
          <t>Laptop Backpack</t>
        </is>
      </c>
      <c r="E137" s="10" t="inlineStr">
        <is>
          <t>Accessories</t>
        </is>
      </c>
      <c r="F137" s="10" t="inlineStr">
        <is>
          <t>West</t>
        </is>
      </c>
      <c r="G137" s="10" t="n">
        <v>8</v>
      </c>
      <c r="H137" s="10" t="n">
        <v>1567.02</v>
      </c>
      <c r="I137" s="10" t="n">
        <v>820</v>
      </c>
    </row>
    <row r="138">
      <c r="A138" s="10" t="inlineStr">
        <is>
          <t>ORD-2024113</t>
        </is>
      </c>
      <c r="B138" s="10" t="inlineStr">
        <is>
          <t>2024-09-15</t>
        </is>
      </c>
      <c r="C138" s="10" t="inlineStr">
        <is>
          <t>P107</t>
        </is>
      </c>
      <c r="D138" s="10" t="inlineStr">
        <is>
          <t>Bookshelf Cabinet</t>
        </is>
      </c>
      <c r="E138" s="10" t="inlineStr">
        <is>
          <t>Furniture</t>
        </is>
      </c>
      <c r="F138" s="10" t="inlineStr">
        <is>
          <t>West</t>
        </is>
      </c>
      <c r="G138" s="10" t="n">
        <v>4</v>
      </c>
      <c r="H138" s="10" t="n">
        <v>5950</v>
      </c>
      <c r="I138" s="10" t="n">
        <v>4100</v>
      </c>
    </row>
    <row r="139">
      <c r="A139" s="10" t="inlineStr">
        <is>
          <t>ORD-2024257</t>
        </is>
      </c>
      <c r="B139" s="10" t="inlineStr">
        <is>
          <t>2024-02-16</t>
        </is>
      </c>
      <c r="C139" s="10" t="inlineStr">
        <is>
          <t>P111</t>
        </is>
      </c>
      <c r="D139" s="10" t="inlineStr">
        <is>
          <t>Desk Organizer Tray</t>
        </is>
      </c>
      <c r="E139" s="10" t="inlineStr">
        <is>
          <t>Office Supplies</t>
        </is>
      </c>
      <c r="F139" s="10" t="inlineStr">
        <is>
          <t>North</t>
        </is>
      </c>
      <c r="G139" s="10" t="n">
        <v>11</v>
      </c>
      <c r="H139" s="10" t="n">
        <v>470.4</v>
      </c>
      <c r="I139" s="10" t="n">
        <v>260</v>
      </c>
    </row>
    <row r="140">
      <c r="A140" s="10" t="inlineStr">
        <is>
          <t>ORD-2024118</t>
        </is>
      </c>
      <c r="B140" s="10" t="inlineStr">
        <is>
          <t>2024-07-15</t>
        </is>
      </c>
      <c r="C140" s="10" t="inlineStr">
        <is>
          <t>P112</t>
        </is>
      </c>
      <c r="D140" s="10" t="inlineStr">
        <is>
          <t>USB-C Multiport Hub</t>
        </is>
      </c>
      <c r="E140" s="10" t="inlineStr">
        <is>
          <t>Accessories</t>
        </is>
      </c>
      <c r="F140" s="10" t="inlineStr">
        <is>
          <t>North</t>
        </is>
      </c>
      <c r="G140" s="10" t="n">
        <v>4</v>
      </c>
      <c r="H140" s="10" t="n">
        <v>1999</v>
      </c>
      <c r="I140" s="10" t="n">
        <v>1150</v>
      </c>
    </row>
    <row r="141">
      <c r="A141" s="10" t="inlineStr">
        <is>
          <t>ORD-2024284</t>
        </is>
      </c>
      <c r="B141" s="10" t="inlineStr">
        <is>
          <t>2024-02-25</t>
        </is>
      </c>
      <c r="C141" s="10" t="inlineStr">
        <is>
          <t>P106</t>
        </is>
      </c>
      <c r="D141" s="10" t="inlineStr">
        <is>
          <t>Standing Desk</t>
        </is>
      </c>
      <c r="E141" s="10" t="inlineStr">
        <is>
          <t>Furniture</t>
        </is>
      </c>
      <c r="F141" s="10" t="inlineStr">
        <is>
          <t>West</t>
        </is>
      </c>
      <c r="G141" s="10" t="n">
        <v>3</v>
      </c>
      <c r="H141" s="10" t="n">
        <v>18500</v>
      </c>
      <c r="I141" s="10" t="n">
        <v>12500</v>
      </c>
    </row>
    <row r="142">
      <c r="A142" s="10" t="inlineStr">
        <is>
          <t>ORD-2024278</t>
        </is>
      </c>
      <c r="B142" s="10" t="inlineStr">
        <is>
          <t>2024-03-19</t>
        </is>
      </c>
      <c r="C142" s="10" t="inlineStr">
        <is>
          <t>P111</t>
        </is>
      </c>
      <c r="D142" s="10" t="inlineStr">
        <is>
          <t>Desk Organizer Tray</t>
        </is>
      </c>
      <c r="E142" s="10" t="inlineStr">
        <is>
          <t>Office Supplies</t>
        </is>
      </c>
      <c r="F142" s="10" t="inlineStr">
        <is>
          <t>Central</t>
        </is>
      </c>
      <c r="G142" s="10" t="n">
        <v>2</v>
      </c>
      <c r="H142" s="10" t="n">
        <v>480</v>
      </c>
      <c r="I142" s="10" t="n">
        <v>260</v>
      </c>
    </row>
    <row r="143">
      <c r="A143" s="10" t="inlineStr">
        <is>
          <t>ORD-2024289</t>
        </is>
      </c>
      <c r="B143" s="10" t="inlineStr">
        <is>
          <t>2024-06-28</t>
        </is>
      </c>
      <c r="C143" s="10" t="inlineStr">
        <is>
          <t>P101</t>
        </is>
      </c>
      <c r="D143" s="10" t="inlineStr">
        <is>
          <t>Laptop Pro 15</t>
        </is>
      </c>
      <c r="E143" s="10" t="inlineStr">
        <is>
          <t>Electronics</t>
        </is>
      </c>
      <c r="F143" s="10" t="inlineStr">
        <is>
          <t>North</t>
        </is>
      </c>
      <c r="G143" s="10" t="n">
        <v>2</v>
      </c>
      <c r="H143" s="10" t="n">
        <v>53900</v>
      </c>
      <c r="I143" s="10" t="n">
        <v>45000</v>
      </c>
    </row>
    <row r="144">
      <c r="A144" s="10" t="inlineStr">
        <is>
          <t>ORD-2024184</t>
        </is>
      </c>
      <c r="B144" s="10" t="inlineStr">
        <is>
          <t>2024-02-11</t>
        </is>
      </c>
      <c r="C144" s="10" t="inlineStr">
        <is>
          <t>P110</t>
        </is>
      </c>
      <c r="D144" s="10" t="inlineStr">
        <is>
          <t>A4 Copier Paper (500s)</t>
        </is>
      </c>
      <c r="E144" s="10" t="inlineStr">
        <is>
          <t>Office Supplies</t>
        </is>
      </c>
      <c r="F144" s="10" t="inlineStr">
        <is>
          <t>North</t>
        </is>
      </c>
      <c r="G144" s="10" t="n">
        <v>7</v>
      </c>
      <c r="H144" s="10" t="n">
        <v>320</v>
      </c>
      <c r="I144" s="10" t="n">
        <v>190</v>
      </c>
    </row>
    <row r="145">
      <c r="A145" s="10" t="inlineStr">
        <is>
          <t>ORD-2024186</t>
        </is>
      </c>
      <c r="B145" s="10" t="inlineStr">
        <is>
          <t>2024-10-27</t>
        </is>
      </c>
      <c r="C145" s="10" t="inlineStr">
        <is>
          <t>P101</t>
        </is>
      </c>
      <c r="D145" s="10" t="inlineStr">
        <is>
          <t>Laptop Pro 15</t>
        </is>
      </c>
      <c r="E145" s="10" t="inlineStr">
        <is>
          <t>Electronics</t>
        </is>
      </c>
      <c r="F145" s="10" t="inlineStr">
        <is>
          <t>Central</t>
        </is>
      </c>
      <c r="G145" s="10" t="n">
        <v>3</v>
      </c>
      <c r="H145" s="10" t="n">
        <v>53900</v>
      </c>
      <c r="I145" s="10" t="n">
        <v>45000</v>
      </c>
    </row>
    <row r="146">
      <c r="A146" s="10" t="inlineStr">
        <is>
          <t>ORD-2024003</t>
        </is>
      </c>
      <c r="B146" s="10" t="inlineStr">
        <is>
          <t>2024-08-04</t>
        </is>
      </c>
      <c r="C146" s="10" t="inlineStr">
        <is>
          <t>P101</t>
        </is>
      </c>
      <c r="D146" s="10" t="inlineStr">
        <is>
          <t>Laptop Pro 15</t>
        </is>
      </c>
      <c r="E146" s="10" t="inlineStr">
        <is>
          <t>Electronics</t>
        </is>
      </c>
      <c r="F146" s="10" t="inlineStr">
        <is>
          <t>North</t>
        </is>
      </c>
      <c r="G146" s="10" t="n">
        <v>2</v>
      </c>
      <c r="H146" s="10" t="n">
        <v>55000</v>
      </c>
      <c r="I146" s="10" t="n">
        <v>45000</v>
      </c>
    </row>
    <row r="147">
      <c r="A147" s="10" t="inlineStr">
        <is>
          <t>ORD-2024116</t>
        </is>
      </c>
      <c r="B147" s="10" t="inlineStr">
        <is>
          <t>2024-02-09</t>
        </is>
      </c>
      <c r="C147" s="10" t="inlineStr">
        <is>
          <t>P112</t>
        </is>
      </c>
      <c r="D147" s="10" t="inlineStr">
        <is>
          <t>USB-C Multiport Hub</t>
        </is>
      </c>
      <c r="E147" s="10" t="inlineStr">
        <is>
          <t>Accessories</t>
        </is>
      </c>
      <c r="F147" s="10" t="inlineStr">
        <is>
          <t>South</t>
        </is>
      </c>
      <c r="G147" s="10" t="n">
        <v>5</v>
      </c>
      <c r="H147" s="10" t="n">
        <v>1999</v>
      </c>
      <c r="I147" s="10" t="n">
        <v>1150</v>
      </c>
    </row>
    <row r="148">
      <c r="A148" s="10" t="inlineStr">
        <is>
          <t>ORD-2024149</t>
        </is>
      </c>
      <c r="B148" s="10" t="inlineStr">
        <is>
          <t>2024-01-15</t>
        </is>
      </c>
      <c r="C148" s="10" t="inlineStr">
        <is>
          <t>P108</t>
        </is>
      </c>
      <c r="D148" s="10" t="inlineStr">
        <is>
          <t>Executive Desk Lamp</t>
        </is>
      </c>
      <c r="E148" s="10" t="inlineStr">
        <is>
          <t>Furniture</t>
        </is>
      </c>
      <c r="F148" s="10" t="inlineStr">
        <is>
          <t>West</t>
        </is>
      </c>
      <c r="G148" s="10" t="n">
        <v>3</v>
      </c>
      <c r="H148" s="10" t="n">
        <v>1424.05</v>
      </c>
      <c r="I148" s="10" t="n">
        <v>850</v>
      </c>
    </row>
    <row r="149">
      <c r="A149" s="10" t="inlineStr">
        <is>
          <t>ORD-2024185</t>
        </is>
      </c>
      <c r="B149" s="10" t="inlineStr">
        <is>
          <t>2024-11-05</t>
        </is>
      </c>
      <c r="C149" s="10" t="inlineStr">
        <is>
          <t>P105</t>
        </is>
      </c>
      <c r="D149" s="10" t="inlineStr">
        <is>
          <t>Ergonomic Office Chair</t>
        </is>
      </c>
      <c r="E149" s="10" t="inlineStr">
        <is>
          <t>Furniture</t>
        </is>
      </c>
      <c r="F149" s="10" t="inlineStr">
        <is>
          <t>North</t>
        </is>
      </c>
      <c r="G149" s="10" t="n">
        <v>2</v>
      </c>
      <c r="H149" s="10" t="n">
        <v>9799.02</v>
      </c>
      <c r="I149" s="10" t="n">
        <v>6800</v>
      </c>
    </row>
    <row r="150">
      <c r="A150" s="10" t="inlineStr">
        <is>
          <t>ORD-2024121</t>
        </is>
      </c>
      <c r="B150" s="10" t="inlineStr">
        <is>
          <t>2024-12-22</t>
        </is>
      </c>
      <c r="C150" s="10" t="inlineStr">
        <is>
          <t>P101</t>
        </is>
      </c>
      <c r="D150" s="10" t="inlineStr">
        <is>
          <t>Laptop Pro 15</t>
        </is>
      </c>
      <c r="E150" s="10" t="inlineStr">
        <is>
          <t>Electronics</t>
        </is>
      </c>
      <c r="F150" s="10" t="inlineStr">
        <is>
          <t>West</t>
        </is>
      </c>
      <c r="G150" s="10" t="n">
        <v>4</v>
      </c>
      <c r="H150" s="10" t="n">
        <v>52250</v>
      </c>
      <c r="I150" s="10" t="n">
        <v>45000</v>
      </c>
    </row>
    <row r="151">
      <c r="A151" s="10" t="inlineStr">
        <is>
          <t>ORD-2024220</t>
        </is>
      </c>
      <c r="B151" s="10" t="inlineStr">
        <is>
          <t>2024-08-15</t>
        </is>
      </c>
      <c r="C151" s="10" t="inlineStr">
        <is>
          <t>P103</t>
        </is>
      </c>
      <c r="D151" s="10" t="inlineStr">
        <is>
          <t>Mechanical Keyboard</t>
        </is>
      </c>
      <c r="E151" s="10" t="inlineStr">
        <is>
          <t>Electronics</t>
        </is>
      </c>
      <c r="F151" s="10" t="inlineStr">
        <is>
          <t>East</t>
        </is>
      </c>
      <c r="G151" s="10" t="n">
        <v>1</v>
      </c>
      <c r="H151" s="10" t="n">
        <v>2800</v>
      </c>
      <c r="I151" s="10" t="n">
        <v>1850</v>
      </c>
    </row>
    <row r="152">
      <c r="A152" s="10" t="inlineStr">
        <is>
          <t>ORD-2024266</t>
        </is>
      </c>
      <c r="B152" s="10" t="inlineStr">
        <is>
          <t>2024-08-17</t>
        </is>
      </c>
      <c r="C152" s="10" t="inlineStr">
        <is>
          <t>P113</t>
        </is>
      </c>
      <c r="D152" s="10" t="inlineStr">
        <is>
          <t>Laptop Backpack</t>
        </is>
      </c>
      <c r="E152" s="10" t="inlineStr">
        <is>
          <t>Accessories</t>
        </is>
      </c>
      <c r="F152" s="10" t="inlineStr">
        <is>
          <t>South</t>
        </is>
      </c>
      <c r="G152" s="10" t="n">
        <v>10</v>
      </c>
      <c r="H152" s="10" t="n">
        <v>1599</v>
      </c>
      <c r="I152" s="10" t="n">
        <v>820</v>
      </c>
    </row>
    <row r="153">
      <c r="A153" s="10" t="inlineStr">
        <is>
          <t>ORD-2024128</t>
        </is>
      </c>
      <c r="B153" s="10" t="inlineStr">
        <is>
          <t>2024-03-10</t>
        </is>
      </c>
      <c r="C153" s="10" t="inlineStr">
        <is>
          <t>P114</t>
        </is>
      </c>
      <c r="D153" s="10" t="inlineStr">
        <is>
          <t>Webcam 1080p HD</t>
        </is>
      </c>
      <c r="E153" s="10" t="inlineStr">
        <is>
          <t>Accessories</t>
        </is>
      </c>
      <c r="F153" s="10" t="inlineStr">
        <is>
          <t>South</t>
        </is>
      </c>
      <c r="G153" s="10" t="n">
        <v>1</v>
      </c>
      <c r="H153" s="10" t="n">
        <v>2450</v>
      </c>
      <c r="I153" s="10" t="n">
        <v>1450</v>
      </c>
    </row>
    <row r="154">
      <c r="A154" s="10" t="inlineStr">
        <is>
          <t>ORD-2024075</t>
        </is>
      </c>
      <c r="B154" s="10" t="inlineStr">
        <is>
          <t>2024-06-19</t>
        </is>
      </c>
      <c r="C154" s="10" t="inlineStr">
        <is>
          <t>P113</t>
        </is>
      </c>
      <c r="D154" s="10" t="inlineStr">
        <is>
          <t>Laptop Backpack</t>
        </is>
      </c>
      <c r="E154" s="10" t="inlineStr">
        <is>
          <t>Accessories</t>
        </is>
      </c>
      <c r="F154" s="10" t="inlineStr">
        <is>
          <t>North</t>
        </is>
      </c>
      <c r="G154" s="10" t="n">
        <v>5</v>
      </c>
      <c r="H154" s="10" t="n">
        <v>1599</v>
      </c>
      <c r="I154" s="10" t="n">
        <v>820</v>
      </c>
    </row>
    <row r="155">
      <c r="A155" s="10" t="inlineStr">
        <is>
          <t>ORD-2024030</t>
        </is>
      </c>
      <c r="B155" s="10" t="inlineStr">
        <is>
          <t>2024-07-10</t>
        </is>
      </c>
      <c r="C155" s="10" t="inlineStr">
        <is>
          <t>P113</t>
        </is>
      </c>
      <c r="D155" s="10" t="inlineStr">
        <is>
          <t>Laptop Backpack</t>
        </is>
      </c>
      <c r="E155" s="10" t="inlineStr">
        <is>
          <t>Accessories</t>
        </is>
      </c>
      <c r="F155" s="10" t="inlineStr">
        <is>
          <t>North</t>
        </is>
      </c>
      <c r="G155" s="10" t="n">
        <v>13</v>
      </c>
      <c r="H155" s="10" t="n">
        <v>1567.02</v>
      </c>
      <c r="I155" s="10" t="n">
        <v>820</v>
      </c>
    </row>
    <row r="156">
      <c r="A156" s="10" t="inlineStr">
        <is>
          <t>ORD-2024084</t>
        </is>
      </c>
      <c r="B156" s="10" t="inlineStr">
        <is>
          <t>2024-12-08</t>
        </is>
      </c>
      <c r="C156" s="10" t="inlineStr">
        <is>
          <t>P114</t>
        </is>
      </c>
      <c r="D156" s="10" t="inlineStr">
        <is>
          <t>Webcam 1080p HD</t>
        </is>
      </c>
      <c r="E156" s="10" t="inlineStr">
        <is>
          <t>Accessories</t>
        </is>
      </c>
      <c r="F156" s="10" t="inlineStr">
        <is>
          <t>West</t>
        </is>
      </c>
      <c r="G156" s="10" t="n">
        <v>4</v>
      </c>
      <c r="H156" s="10" t="n">
        <v>2450</v>
      </c>
      <c r="I156" s="10" t="n">
        <v>1450</v>
      </c>
    </row>
    <row r="157">
      <c r="A157" s="10" t="inlineStr">
        <is>
          <t>ORD-2024254</t>
        </is>
      </c>
      <c r="B157" s="10" t="inlineStr">
        <is>
          <t>2024-08-15</t>
        </is>
      </c>
      <c r="C157" s="10" t="inlineStr">
        <is>
          <t>P108</t>
        </is>
      </c>
      <c r="D157" s="10" t="inlineStr">
        <is>
          <t>Executive Desk Lamp</t>
        </is>
      </c>
      <c r="E157" s="10" t="inlineStr">
        <is>
          <t>Furniture</t>
        </is>
      </c>
      <c r="F157" s="10" t="inlineStr">
        <is>
          <t>Central</t>
        </is>
      </c>
      <c r="G157" s="10" t="n">
        <v>6</v>
      </c>
      <c r="H157" s="10" t="n">
        <v>1499</v>
      </c>
      <c r="I157" s="10" t="n">
        <v>850</v>
      </c>
    </row>
    <row r="158">
      <c r="A158" s="10" t="inlineStr">
        <is>
          <t>ORD-2024108</t>
        </is>
      </c>
      <c r="B158" s="10" t="inlineStr">
        <is>
          <t>2024-09-10</t>
        </is>
      </c>
      <c r="C158" s="10" t="inlineStr">
        <is>
          <t>P107</t>
        </is>
      </c>
      <c r="D158" s="10" t="inlineStr">
        <is>
          <t>Bookshelf Cabinet</t>
        </is>
      </c>
      <c r="E158" s="10" t="inlineStr">
        <is>
          <t>Furniture</t>
        </is>
      </c>
      <c r="F158" s="10" t="inlineStr">
        <is>
          <t>North</t>
        </is>
      </c>
      <c r="G158" s="10" t="n">
        <v>1</v>
      </c>
      <c r="H158" s="10" t="n">
        <v>5950</v>
      </c>
      <c r="I158" s="10" t="n">
        <v>4100</v>
      </c>
    </row>
    <row r="159">
      <c r="A159" s="10" t="inlineStr">
        <is>
          <t>ORD-2024159</t>
        </is>
      </c>
      <c r="B159" s="10" t="inlineStr">
        <is>
          <t>2024-03-02</t>
        </is>
      </c>
      <c r="C159" s="10" t="inlineStr">
        <is>
          <t>P112</t>
        </is>
      </c>
      <c r="D159" s="10" t="inlineStr">
        <is>
          <t>USB-C Multiport Hub</t>
        </is>
      </c>
      <c r="E159" s="10" t="inlineStr">
        <is>
          <t>Accessories</t>
        </is>
      </c>
      <c r="F159" s="10" t="inlineStr">
        <is>
          <t>East</t>
        </is>
      </c>
      <c r="G159" s="10" t="n">
        <v>13</v>
      </c>
      <c r="H159" s="10" t="n">
        <v>1999</v>
      </c>
      <c r="I159" s="10" t="n">
        <v>1150</v>
      </c>
    </row>
    <row r="160">
      <c r="A160" s="10" t="inlineStr">
        <is>
          <t>ORD-2024164</t>
        </is>
      </c>
      <c r="B160" s="10" t="inlineStr">
        <is>
          <t>2024-10-10</t>
        </is>
      </c>
      <c r="C160" s="10" t="inlineStr">
        <is>
          <t>P105</t>
        </is>
      </c>
      <c r="D160" s="10" t="inlineStr">
        <is>
          <t>Ergonomic Office Chair</t>
        </is>
      </c>
      <c r="E160" s="10" t="inlineStr">
        <is>
          <t>Furniture</t>
        </is>
      </c>
      <c r="F160" s="10" t="inlineStr">
        <is>
          <t>East</t>
        </is>
      </c>
      <c r="G160" s="10" t="n">
        <v>2</v>
      </c>
      <c r="H160" s="10" t="n">
        <v>9499.049999999999</v>
      </c>
      <c r="I160" s="10" t="n">
        <v>6800</v>
      </c>
    </row>
    <row r="161">
      <c r="A161" s="10" t="inlineStr">
        <is>
          <t>ORD-2024134</t>
        </is>
      </c>
      <c r="B161" s="10" t="inlineStr">
        <is>
          <t>2024-03-19</t>
        </is>
      </c>
      <c r="C161" s="10" t="inlineStr">
        <is>
          <t>P104</t>
        </is>
      </c>
      <c r="D161" s="10" t="inlineStr">
        <is>
          <t>Noise-Cancelling Headphones</t>
        </is>
      </c>
      <c r="E161" s="10" t="inlineStr">
        <is>
          <t>Electronics</t>
        </is>
      </c>
      <c r="F161" s="10" t="inlineStr">
        <is>
          <t>North</t>
        </is>
      </c>
      <c r="G161" s="10" t="n">
        <v>1</v>
      </c>
      <c r="H161" s="10" t="n">
        <v>5879.02</v>
      </c>
      <c r="I161" s="10" t="n">
        <v>3600</v>
      </c>
    </row>
    <row r="162">
      <c r="A162" s="10" t="inlineStr">
        <is>
          <t>ORD-2024198</t>
        </is>
      </c>
      <c r="B162" s="10" t="inlineStr">
        <is>
          <t>2024-05-02</t>
        </is>
      </c>
      <c r="C162" s="10" t="inlineStr">
        <is>
          <t>P112</t>
        </is>
      </c>
      <c r="D162" s="10" t="inlineStr">
        <is>
          <t>USB-C Multiport Hub</t>
        </is>
      </c>
      <c r="E162" s="10" t="inlineStr">
        <is>
          <t>Accessories</t>
        </is>
      </c>
      <c r="F162" s="10" t="inlineStr">
        <is>
          <t>North</t>
        </is>
      </c>
      <c r="G162" s="10" t="n">
        <v>9</v>
      </c>
      <c r="H162" s="10" t="n">
        <v>1999</v>
      </c>
      <c r="I162" s="10" t="n">
        <v>1150</v>
      </c>
    </row>
    <row r="163">
      <c r="A163" s="10" t="inlineStr">
        <is>
          <t>ORD-2024226</t>
        </is>
      </c>
      <c r="B163" s="10" t="inlineStr">
        <is>
          <t>2024-08-23</t>
        </is>
      </c>
      <c r="C163" s="10" t="inlineStr">
        <is>
          <t>P105</t>
        </is>
      </c>
      <c r="D163" s="10" t="inlineStr">
        <is>
          <t>Ergonomic Office Chair</t>
        </is>
      </c>
      <c r="E163" s="10" t="inlineStr">
        <is>
          <t>Furniture</t>
        </is>
      </c>
      <c r="F163" s="10" t="inlineStr">
        <is>
          <t>East</t>
        </is>
      </c>
      <c r="G163" s="10" t="n">
        <v>4</v>
      </c>
      <c r="H163" s="10" t="n">
        <v>9999</v>
      </c>
      <c r="I163" s="10" t="n">
        <v>6800</v>
      </c>
    </row>
    <row r="164">
      <c r="A164" s="10" t="inlineStr">
        <is>
          <t>ORD-2024066</t>
        </is>
      </c>
      <c r="B164" s="10" t="inlineStr">
        <is>
          <t>2024-04-19</t>
        </is>
      </c>
      <c r="C164" s="10" t="inlineStr">
        <is>
          <t>P109</t>
        </is>
      </c>
      <c r="D164" s="10" t="inlineStr">
        <is>
          <t>Gel Pen Pack (10x)</t>
        </is>
      </c>
      <c r="E164" s="10" t="inlineStr">
        <is>
          <t>Office Supplies</t>
        </is>
      </c>
      <c r="F164" s="10" t="inlineStr">
        <is>
          <t>North</t>
        </is>
      </c>
      <c r="G164" s="10" t="n">
        <v>15</v>
      </c>
      <c r="H164" s="10" t="n">
        <v>240</v>
      </c>
      <c r="I164" s="10" t="n">
        <v>110</v>
      </c>
    </row>
    <row r="165">
      <c r="A165" s="10" t="inlineStr">
        <is>
          <t>ORD-2024207</t>
        </is>
      </c>
      <c r="B165" s="10" t="inlineStr">
        <is>
          <t>2024-08-16</t>
        </is>
      </c>
      <c r="C165" s="10" t="inlineStr">
        <is>
          <t>P109</t>
        </is>
      </c>
      <c r="D165" s="10" t="inlineStr">
        <is>
          <t>Gel Pen Pack (10x)</t>
        </is>
      </c>
      <c r="E165" s="10" t="inlineStr">
        <is>
          <t>Office Supplies</t>
        </is>
      </c>
      <c r="F165" s="10" t="inlineStr">
        <is>
          <t>South</t>
        </is>
      </c>
      <c r="G165" s="10" t="n">
        <v>6</v>
      </c>
      <c r="H165" s="10" t="n">
        <v>235.2</v>
      </c>
      <c r="I165" s="10" t="n">
        <v>110</v>
      </c>
    </row>
    <row r="166">
      <c r="A166" s="10" t="inlineStr">
        <is>
          <t>ORD-2024086</t>
        </is>
      </c>
      <c r="B166" s="10" t="inlineStr">
        <is>
          <t>2024-08-28</t>
        </is>
      </c>
      <c r="C166" s="10" t="inlineStr">
        <is>
          <t>P104</t>
        </is>
      </c>
      <c r="D166" s="10" t="inlineStr">
        <is>
          <t>Noise-Cancelling Headphones</t>
        </is>
      </c>
      <c r="E166" s="10" t="inlineStr">
        <is>
          <t>Electronics</t>
        </is>
      </c>
      <c r="F166" s="10" t="inlineStr">
        <is>
          <t>North</t>
        </is>
      </c>
      <c r="G166" s="10" t="n">
        <v>4</v>
      </c>
      <c r="H166" s="10" t="n">
        <v>5999</v>
      </c>
      <c r="I166" s="10" t="n">
        <v>3600</v>
      </c>
    </row>
    <row r="167">
      <c r="A167" s="10" t="inlineStr">
        <is>
          <t>ORD-2024223</t>
        </is>
      </c>
      <c r="B167" s="10" t="inlineStr">
        <is>
          <t>2024-12-15</t>
        </is>
      </c>
      <c r="C167" s="10" t="inlineStr">
        <is>
          <t>P113</t>
        </is>
      </c>
      <c r="D167" s="10" t="inlineStr">
        <is>
          <t>Laptop Backpack</t>
        </is>
      </c>
      <c r="E167" s="10" t="inlineStr">
        <is>
          <t>Accessories</t>
        </is>
      </c>
      <c r="F167" s="10" t="inlineStr">
        <is>
          <t>North</t>
        </is>
      </c>
      <c r="G167" s="10" t="n">
        <v>3</v>
      </c>
      <c r="H167" s="10" t="n">
        <v>1599</v>
      </c>
      <c r="I167" s="10" t="n">
        <v>820</v>
      </c>
    </row>
    <row r="168">
      <c r="A168" s="10" t="inlineStr">
        <is>
          <t>ORD-2024160</t>
        </is>
      </c>
      <c r="B168" s="10" t="inlineStr">
        <is>
          <t>2024-04-08</t>
        </is>
      </c>
      <c r="C168" s="10" t="inlineStr">
        <is>
          <t>P104</t>
        </is>
      </c>
      <c r="D168" s="10" t="inlineStr">
        <is>
          <t>Noise-Cancelling Headphones</t>
        </is>
      </c>
      <c r="E168" s="10" t="inlineStr">
        <is>
          <t>Electronics</t>
        </is>
      </c>
      <c r="F168" s="10" t="inlineStr">
        <is>
          <t>West</t>
        </is>
      </c>
      <c r="G168" s="10" t="n">
        <v>3</v>
      </c>
      <c r="H168" s="10" t="n">
        <v>5879.02</v>
      </c>
      <c r="I168" s="10" t="n">
        <v>3600</v>
      </c>
    </row>
    <row r="169">
      <c r="A169" s="10" t="inlineStr">
        <is>
          <t>ORD-2024013</t>
        </is>
      </c>
      <c r="B169" s="10" t="inlineStr">
        <is>
          <t>2024-02-21</t>
        </is>
      </c>
      <c r="C169" s="10" t="inlineStr">
        <is>
          <t>P107</t>
        </is>
      </c>
      <c r="D169" s="10" t="inlineStr">
        <is>
          <t>Bookshelf Cabinet</t>
        </is>
      </c>
      <c r="E169" s="10" t="inlineStr">
        <is>
          <t>Furniture</t>
        </is>
      </c>
      <c r="F169" s="10" t="inlineStr">
        <is>
          <t>North</t>
        </is>
      </c>
      <c r="G169" s="10" t="n">
        <v>3</v>
      </c>
      <c r="H169" s="10" t="n">
        <v>5950</v>
      </c>
      <c r="I169" s="10" t="n">
        <v>4100</v>
      </c>
    </row>
    <row r="170">
      <c r="A170" s="10" t="inlineStr">
        <is>
          <t>ORD-2024036</t>
        </is>
      </c>
      <c r="B170" s="10" t="inlineStr">
        <is>
          <t>2024-09-27</t>
        </is>
      </c>
      <c r="C170" s="10" t="inlineStr">
        <is>
          <t>P114</t>
        </is>
      </c>
      <c r="D170" s="10" t="inlineStr">
        <is>
          <t>Webcam 1080p HD</t>
        </is>
      </c>
      <c r="E170" s="10" t="inlineStr">
        <is>
          <t>Accessories</t>
        </is>
      </c>
      <c r="F170" s="10" t="inlineStr">
        <is>
          <t>East</t>
        </is>
      </c>
      <c r="G170" s="10" t="n">
        <v>4</v>
      </c>
      <c r="H170" s="10" t="n">
        <v>2401</v>
      </c>
      <c r="I170" s="10" t="n">
        <v>1450</v>
      </c>
    </row>
    <row r="171">
      <c r="A171" s="10" t="inlineStr">
        <is>
          <t>ORD-2024029</t>
        </is>
      </c>
      <c r="B171" s="10" t="inlineStr">
        <is>
          <t>2024-11-16</t>
        </is>
      </c>
      <c r="C171" s="10" t="inlineStr">
        <is>
          <t>P105</t>
        </is>
      </c>
      <c r="D171" s="10" t="inlineStr">
        <is>
          <t>Ergonomic Office Chair</t>
        </is>
      </c>
      <c r="E171" s="10" t="inlineStr">
        <is>
          <t>Furniture</t>
        </is>
      </c>
      <c r="F171" s="10" t="inlineStr">
        <is>
          <t>West</t>
        </is>
      </c>
      <c r="G171" s="10" t="n">
        <v>2</v>
      </c>
      <c r="H171" s="10" t="n">
        <v>9999</v>
      </c>
      <c r="I171" s="10" t="n">
        <v>6800</v>
      </c>
    </row>
    <row r="172">
      <c r="A172" s="10" t="inlineStr">
        <is>
          <t>ORD-2024171</t>
        </is>
      </c>
      <c r="B172" s="10" t="inlineStr">
        <is>
          <t>2024-11-01</t>
        </is>
      </c>
      <c r="C172" s="10" t="inlineStr">
        <is>
          <t>P113</t>
        </is>
      </c>
      <c r="D172" s="10" t="inlineStr">
        <is>
          <t>Laptop Backpack</t>
        </is>
      </c>
      <c r="E172" s="10" t="inlineStr">
        <is>
          <t>Accessories</t>
        </is>
      </c>
      <c r="F172" s="10" t="inlineStr">
        <is>
          <t>East</t>
        </is>
      </c>
      <c r="G172" s="10" t="n">
        <v>13</v>
      </c>
      <c r="H172" s="10" t="n">
        <v>1567.02</v>
      </c>
      <c r="I172" s="10" t="n">
        <v>820</v>
      </c>
    </row>
    <row r="173">
      <c r="A173" s="10" t="inlineStr">
        <is>
          <t>ORD-2024143</t>
        </is>
      </c>
      <c r="B173" s="10" t="inlineStr">
        <is>
          <t>2024-09-16</t>
        </is>
      </c>
      <c r="C173" s="10" t="inlineStr">
        <is>
          <t>P111</t>
        </is>
      </c>
      <c r="D173" s="10" t="inlineStr">
        <is>
          <t>Desk Organizer Tray</t>
        </is>
      </c>
      <c r="E173" s="10" t="inlineStr">
        <is>
          <t>Office Supplies</t>
        </is>
      </c>
      <c r="F173" s="10" t="inlineStr">
        <is>
          <t>South</t>
        </is>
      </c>
      <c r="G173" s="10" t="n">
        <v>14</v>
      </c>
      <c r="H173" s="10" t="n">
        <v>456</v>
      </c>
      <c r="I173" s="10" t="n">
        <v>260</v>
      </c>
    </row>
    <row r="174">
      <c r="A174" s="10" t="inlineStr">
        <is>
          <t>ORD-2024199</t>
        </is>
      </c>
      <c r="B174" s="10" t="inlineStr">
        <is>
          <t>2024-10-09</t>
        </is>
      </c>
      <c r="C174" s="10" t="inlineStr">
        <is>
          <t>P107</t>
        </is>
      </c>
      <c r="D174" s="10" t="inlineStr">
        <is>
          <t>Bookshelf Cabinet</t>
        </is>
      </c>
      <c r="E174" s="10" t="inlineStr">
        <is>
          <t>Furniture</t>
        </is>
      </c>
      <c r="F174" s="10" t="inlineStr">
        <is>
          <t>North</t>
        </is>
      </c>
      <c r="G174" s="10" t="n">
        <v>1</v>
      </c>
      <c r="H174" s="10" t="n">
        <v>5652.5</v>
      </c>
      <c r="I174" s="10" t="n">
        <v>4100</v>
      </c>
    </row>
    <row r="175">
      <c r="A175" s="10" t="inlineStr">
        <is>
          <t>ORD-2024132</t>
        </is>
      </c>
      <c r="B175" s="10" t="inlineStr">
        <is>
          <t>2024-04-24</t>
        </is>
      </c>
      <c r="C175" s="10" t="inlineStr">
        <is>
          <t>P111</t>
        </is>
      </c>
      <c r="D175" s="10" t="inlineStr">
        <is>
          <t>Desk Organizer Tray</t>
        </is>
      </c>
      <c r="E175" s="10" t="inlineStr">
        <is>
          <t>Office Supplies</t>
        </is>
      </c>
      <c r="F175" s="10" t="inlineStr">
        <is>
          <t>North</t>
        </is>
      </c>
      <c r="G175" s="10" t="n">
        <v>11</v>
      </c>
      <c r="H175" s="10" t="n">
        <v>480</v>
      </c>
      <c r="I175" s="10" t="n">
        <v>260</v>
      </c>
    </row>
    <row r="176">
      <c r="A176" s="10" t="inlineStr">
        <is>
          <t>ORD-2024177</t>
        </is>
      </c>
      <c r="B176" s="10" t="inlineStr">
        <is>
          <t>2024-08-28</t>
        </is>
      </c>
      <c r="C176" s="10" t="inlineStr">
        <is>
          <t>P105</t>
        </is>
      </c>
      <c r="D176" s="10" t="inlineStr">
        <is>
          <t>Ergonomic Office Chair</t>
        </is>
      </c>
      <c r="E176" s="10" t="inlineStr">
        <is>
          <t>Furniture</t>
        </is>
      </c>
      <c r="F176" s="10" t="inlineStr">
        <is>
          <t>North</t>
        </is>
      </c>
      <c r="G176" s="10" t="n">
        <v>3</v>
      </c>
      <c r="H176" s="10" t="n">
        <v>9999</v>
      </c>
      <c r="I176" s="10" t="n">
        <v>6800</v>
      </c>
    </row>
    <row r="177">
      <c r="A177" s="10" t="inlineStr">
        <is>
          <t>ORD-2024052</t>
        </is>
      </c>
      <c r="B177" s="10" t="inlineStr">
        <is>
          <t>2024-07-24</t>
        </is>
      </c>
      <c r="C177" s="10" t="inlineStr">
        <is>
          <t>P101</t>
        </is>
      </c>
      <c r="D177" s="10" t="inlineStr">
        <is>
          <t>Laptop Pro 15</t>
        </is>
      </c>
      <c r="E177" s="10" t="inlineStr">
        <is>
          <t>Electronics</t>
        </is>
      </c>
      <c r="F177" s="10" t="inlineStr">
        <is>
          <t>North</t>
        </is>
      </c>
      <c r="G177" s="10" t="n">
        <v>1</v>
      </c>
      <c r="H177" s="10" t="n">
        <v>52250</v>
      </c>
      <c r="I177" s="10" t="n">
        <v>45000</v>
      </c>
    </row>
    <row r="178">
      <c r="A178" s="10" t="inlineStr">
        <is>
          <t>ORD-2024096</t>
        </is>
      </c>
      <c r="B178" s="10" t="inlineStr">
        <is>
          <t>2024-07-05</t>
        </is>
      </c>
      <c r="C178" s="10" t="inlineStr">
        <is>
          <t>P107</t>
        </is>
      </c>
      <c r="D178" s="10" t="inlineStr">
        <is>
          <t>Bookshelf Cabinet</t>
        </is>
      </c>
      <c r="E178" s="10" t="inlineStr">
        <is>
          <t>Furniture</t>
        </is>
      </c>
      <c r="F178" s="10" t="inlineStr">
        <is>
          <t>North</t>
        </is>
      </c>
      <c r="G178" s="10" t="n">
        <v>3</v>
      </c>
      <c r="H178" s="10" t="n">
        <v>5831</v>
      </c>
      <c r="I178" s="10" t="n">
        <v>4100</v>
      </c>
    </row>
    <row r="179">
      <c r="A179" s="10" t="inlineStr">
        <is>
          <t>ORD-2024232</t>
        </is>
      </c>
      <c r="B179" s="10" t="inlineStr">
        <is>
          <t>2024-05-20</t>
        </is>
      </c>
      <c r="C179" s="10" t="inlineStr">
        <is>
          <t>P101</t>
        </is>
      </c>
      <c r="D179" s="10" t="inlineStr">
        <is>
          <t>Laptop Pro 15</t>
        </is>
      </c>
      <c r="E179" s="10" t="inlineStr">
        <is>
          <t>Electronics</t>
        </is>
      </c>
      <c r="F179" s="10" t="inlineStr">
        <is>
          <t>East</t>
        </is>
      </c>
      <c r="G179" s="10" t="n">
        <v>1</v>
      </c>
      <c r="H179" s="10" t="n">
        <v>53900</v>
      </c>
      <c r="I179" s="10" t="n">
        <v>45000</v>
      </c>
    </row>
    <row r="180">
      <c r="A180" s="10" t="inlineStr">
        <is>
          <t>ORD-2024179</t>
        </is>
      </c>
      <c r="B180" s="10" t="inlineStr">
        <is>
          <t>2024-05-15</t>
        </is>
      </c>
      <c r="C180" s="10" t="inlineStr">
        <is>
          <t>P113</t>
        </is>
      </c>
      <c r="D180" s="10" t="inlineStr">
        <is>
          <t>Laptop Backpack</t>
        </is>
      </c>
      <c r="E180" s="10" t="inlineStr">
        <is>
          <t>Accessories</t>
        </is>
      </c>
      <c r="F180" s="10" t="inlineStr">
        <is>
          <t>West</t>
        </is>
      </c>
      <c r="G180" s="10" t="n">
        <v>10</v>
      </c>
      <c r="H180" s="10" t="n">
        <v>1599</v>
      </c>
      <c r="I180" s="10" t="n">
        <v>820</v>
      </c>
    </row>
    <row r="181">
      <c r="A181" s="10" t="inlineStr">
        <is>
          <t>ORD-2024230</t>
        </is>
      </c>
      <c r="B181" s="10" t="inlineStr">
        <is>
          <t>2024-02-24</t>
        </is>
      </c>
      <c r="C181" s="10" t="inlineStr">
        <is>
          <t>P104</t>
        </is>
      </c>
      <c r="D181" s="10" t="inlineStr">
        <is>
          <t>Noise-Cancelling Headphones</t>
        </is>
      </c>
      <c r="E181" s="10" t="inlineStr">
        <is>
          <t>Electronics</t>
        </is>
      </c>
      <c r="F181" s="10" t="inlineStr">
        <is>
          <t>South</t>
        </is>
      </c>
      <c r="G181" s="10" t="n">
        <v>3</v>
      </c>
      <c r="H181" s="10" t="n">
        <v>5879.02</v>
      </c>
      <c r="I181" s="10" t="n">
        <v>3600</v>
      </c>
    </row>
    <row r="182">
      <c r="A182" s="10" t="inlineStr">
        <is>
          <t>ORD-2024042</t>
        </is>
      </c>
      <c r="B182" s="10" t="inlineStr">
        <is>
          <t>2024-05-01</t>
        </is>
      </c>
      <c r="C182" s="10" t="inlineStr">
        <is>
          <t>P105</t>
        </is>
      </c>
      <c r="D182" s="10" t="inlineStr">
        <is>
          <t>Ergonomic Office Chair</t>
        </is>
      </c>
      <c r="E182" s="10" t="inlineStr">
        <is>
          <t>Furniture</t>
        </is>
      </c>
      <c r="F182" s="10" t="inlineStr">
        <is>
          <t>East</t>
        </is>
      </c>
      <c r="G182" s="10" t="n">
        <v>2</v>
      </c>
      <c r="H182" s="10" t="n">
        <v>9799.02</v>
      </c>
      <c r="I182" s="10" t="n">
        <v>6800</v>
      </c>
    </row>
    <row r="183">
      <c r="A183" s="10" t="inlineStr">
        <is>
          <t>ORD-2024090</t>
        </is>
      </c>
      <c r="B183" s="10" t="inlineStr">
        <is>
          <t>2024-07-23</t>
        </is>
      </c>
      <c r="C183" s="10" t="inlineStr">
        <is>
          <t>P111</t>
        </is>
      </c>
      <c r="D183" s="10" t="inlineStr">
        <is>
          <t>Desk Organizer Tray</t>
        </is>
      </c>
      <c r="E183" s="10" t="inlineStr">
        <is>
          <t>Office Supplies</t>
        </is>
      </c>
      <c r="F183" s="10" t="inlineStr">
        <is>
          <t>Central</t>
        </is>
      </c>
      <c r="G183" s="10" t="n">
        <v>9</v>
      </c>
      <c r="H183" s="10" t="n">
        <v>480</v>
      </c>
      <c r="I183" s="10" t="n">
        <v>260</v>
      </c>
    </row>
    <row r="184">
      <c r="A184" s="10" t="inlineStr">
        <is>
          <t>ORD-2024227</t>
        </is>
      </c>
      <c r="B184" s="10" t="inlineStr">
        <is>
          <t>2024-12-12</t>
        </is>
      </c>
      <c r="C184" s="10" t="inlineStr">
        <is>
          <t>P109</t>
        </is>
      </c>
      <c r="D184" s="10" t="inlineStr">
        <is>
          <t>Gel Pen Pack (10x)</t>
        </is>
      </c>
      <c r="E184" s="10" t="inlineStr">
        <is>
          <t>Office Supplies</t>
        </is>
      </c>
      <c r="F184" s="10" t="inlineStr">
        <is>
          <t>North</t>
        </is>
      </c>
      <c r="G184" s="10" t="n">
        <v>8</v>
      </c>
      <c r="H184" s="10" t="n">
        <v>240</v>
      </c>
      <c r="I184" s="10" t="n">
        <v>110</v>
      </c>
    </row>
    <row r="185">
      <c r="A185" s="10" t="inlineStr">
        <is>
          <t>ORD-2024137</t>
        </is>
      </c>
      <c r="B185" s="10" t="inlineStr">
        <is>
          <t>2024-03-24</t>
        </is>
      </c>
      <c r="C185" s="10" t="inlineStr">
        <is>
          <t>P105</t>
        </is>
      </c>
      <c r="D185" s="10" t="inlineStr">
        <is>
          <t>Ergonomic Office Chair</t>
        </is>
      </c>
      <c r="E185" s="10" t="inlineStr">
        <is>
          <t>Furniture</t>
        </is>
      </c>
      <c r="F185" s="10" t="inlineStr">
        <is>
          <t>North</t>
        </is>
      </c>
      <c r="G185" s="10" t="n">
        <v>1</v>
      </c>
      <c r="H185" s="10" t="n">
        <v>9999</v>
      </c>
      <c r="I185" s="10" t="n">
        <v>6800</v>
      </c>
    </row>
    <row r="186">
      <c r="A186" s="10" t="inlineStr">
        <is>
          <t>ORD-2024027</t>
        </is>
      </c>
      <c r="B186" s="10" t="inlineStr">
        <is>
          <t>2024-02-27</t>
        </is>
      </c>
      <c r="C186" s="10" t="inlineStr">
        <is>
          <t>P105</t>
        </is>
      </c>
      <c r="D186" s="10" t="inlineStr">
        <is>
          <t>Ergonomic Office Chair</t>
        </is>
      </c>
      <c r="E186" s="10" t="inlineStr">
        <is>
          <t>Furniture</t>
        </is>
      </c>
      <c r="F186" s="10" t="inlineStr">
        <is>
          <t>South</t>
        </is>
      </c>
      <c r="G186" s="10" t="n">
        <v>4</v>
      </c>
      <c r="H186" s="10" t="n">
        <v>9999</v>
      </c>
      <c r="I186" s="10" t="n">
        <v>6800</v>
      </c>
    </row>
    <row r="187">
      <c r="A187" s="10" t="inlineStr">
        <is>
          <t>ORD-2024300</t>
        </is>
      </c>
      <c r="B187" s="10" t="inlineStr">
        <is>
          <t>2024-05-10</t>
        </is>
      </c>
      <c r="C187" s="10" t="inlineStr">
        <is>
          <t>P105</t>
        </is>
      </c>
      <c r="D187" s="10" t="inlineStr">
        <is>
          <t>Ergonomic Office Chair</t>
        </is>
      </c>
      <c r="E187" s="10" t="inlineStr">
        <is>
          <t>Furniture</t>
        </is>
      </c>
      <c r="F187" s="10" t="inlineStr">
        <is>
          <t>South</t>
        </is>
      </c>
      <c r="G187" s="10" t="n">
        <v>1</v>
      </c>
      <c r="H187" s="10" t="n">
        <v>9499.049999999999</v>
      </c>
      <c r="I187" s="10" t="n">
        <v>6800</v>
      </c>
    </row>
    <row r="188">
      <c r="A188" s="10" t="inlineStr">
        <is>
          <t>ORD-2024142</t>
        </is>
      </c>
      <c r="B188" s="10" t="inlineStr">
        <is>
          <t>2024-06-26</t>
        </is>
      </c>
      <c r="C188" s="10" t="inlineStr">
        <is>
          <t>P109</t>
        </is>
      </c>
      <c r="D188" s="10" t="inlineStr">
        <is>
          <t>Gel Pen Pack (10x)</t>
        </is>
      </c>
      <c r="E188" s="10" t="inlineStr">
        <is>
          <t>Office Supplies</t>
        </is>
      </c>
      <c r="F188" s="10" t="inlineStr">
        <is>
          <t>South</t>
        </is>
      </c>
      <c r="G188" s="10" t="n">
        <v>6</v>
      </c>
      <c r="H188" s="10" t="n">
        <v>240</v>
      </c>
      <c r="I188" s="10" t="n">
        <v>110</v>
      </c>
    </row>
    <row r="189">
      <c r="A189" s="10" t="inlineStr">
        <is>
          <t>ORD-2024209</t>
        </is>
      </c>
      <c r="B189" s="10" t="inlineStr">
        <is>
          <t>2024-12-23</t>
        </is>
      </c>
      <c r="C189" s="10" t="inlineStr">
        <is>
          <t>P104</t>
        </is>
      </c>
      <c r="D189" s="10" t="inlineStr">
        <is>
          <t>Noise-Cancelling Headphones</t>
        </is>
      </c>
      <c r="E189" s="10" t="inlineStr">
        <is>
          <t>Electronics</t>
        </is>
      </c>
      <c r="F189" s="10" t="inlineStr">
        <is>
          <t>East</t>
        </is>
      </c>
      <c r="G189" s="10" t="n">
        <v>2</v>
      </c>
      <c r="H189" s="10" t="n">
        <v>5699.05</v>
      </c>
      <c r="I189" s="10" t="n">
        <v>3600</v>
      </c>
    </row>
    <row r="190">
      <c r="A190" s="10" t="inlineStr">
        <is>
          <t>ORD-2024001</t>
        </is>
      </c>
      <c r="B190" s="10" t="inlineStr">
        <is>
          <t>2024-11-23</t>
        </is>
      </c>
      <c r="C190" s="10" t="inlineStr">
        <is>
          <t>P102</t>
        </is>
      </c>
      <c r="D190" s="10" t="inlineStr">
        <is>
          <t>Wireless Mouse</t>
        </is>
      </c>
      <c r="E190" s="10" t="inlineStr">
        <is>
          <t>Electronics</t>
        </is>
      </c>
      <c r="F190" s="10" t="inlineStr">
        <is>
          <t>North</t>
        </is>
      </c>
      <c r="G190" s="10" t="n">
        <v>5</v>
      </c>
      <c r="H190" s="10" t="n">
        <v>750</v>
      </c>
      <c r="I190" s="10" t="n">
        <v>420</v>
      </c>
    </row>
    <row r="191">
      <c r="A191" s="10" t="inlineStr">
        <is>
          <t>ORD-2024275</t>
        </is>
      </c>
      <c r="B191" s="10" t="inlineStr">
        <is>
          <t>2024-04-20</t>
        </is>
      </c>
      <c r="C191" s="10" t="inlineStr">
        <is>
          <t>P107</t>
        </is>
      </c>
      <c r="D191" s="10" t="inlineStr">
        <is>
          <t>Bookshelf Cabinet</t>
        </is>
      </c>
      <c r="E191" s="10" t="inlineStr">
        <is>
          <t>Furniture</t>
        </is>
      </c>
      <c r="F191" s="10" t="inlineStr">
        <is>
          <t>South</t>
        </is>
      </c>
      <c r="G191" s="10" t="n">
        <v>2</v>
      </c>
      <c r="H191" s="10" t="n">
        <v>5652.5</v>
      </c>
      <c r="I191" s="10" t="n">
        <v>4100</v>
      </c>
    </row>
    <row r="192">
      <c r="A192" s="10" t="inlineStr">
        <is>
          <t>ORD-2024279</t>
        </is>
      </c>
      <c r="B192" s="10" t="inlineStr">
        <is>
          <t>2024-02-13</t>
        </is>
      </c>
      <c r="C192" s="10" t="inlineStr">
        <is>
          <t>P102</t>
        </is>
      </c>
      <c r="D192" s="10" t="inlineStr">
        <is>
          <t>Wireless Mouse</t>
        </is>
      </c>
      <c r="E192" s="10" t="inlineStr">
        <is>
          <t>Electronics</t>
        </is>
      </c>
      <c r="F192" s="10" t="inlineStr">
        <is>
          <t>South</t>
        </is>
      </c>
      <c r="G192" s="10" t="n">
        <v>6</v>
      </c>
      <c r="H192" s="10" t="n">
        <v>750</v>
      </c>
      <c r="I192" s="10" t="n">
        <v>420</v>
      </c>
    </row>
    <row r="193">
      <c r="A193" s="10" t="inlineStr">
        <is>
          <t>ORD-2024101</t>
        </is>
      </c>
      <c r="B193" s="10" t="inlineStr">
        <is>
          <t>2024-10-18</t>
        </is>
      </c>
      <c r="C193" s="10" t="inlineStr">
        <is>
          <t>P105</t>
        </is>
      </c>
      <c r="D193" s="10" t="inlineStr">
        <is>
          <t>Ergonomic Office Chair</t>
        </is>
      </c>
      <c r="E193" s="10" t="inlineStr">
        <is>
          <t>Furniture</t>
        </is>
      </c>
      <c r="F193" s="10" t="inlineStr">
        <is>
          <t>South</t>
        </is>
      </c>
      <c r="G193" s="10" t="n">
        <v>1</v>
      </c>
      <c r="H193" s="10" t="n">
        <v>9999</v>
      </c>
      <c r="I193" s="10" t="n">
        <v>6800</v>
      </c>
    </row>
    <row r="194">
      <c r="A194" s="10" t="inlineStr">
        <is>
          <t>ORD-2024268</t>
        </is>
      </c>
      <c r="B194" s="10" t="inlineStr">
        <is>
          <t>2024-12-03</t>
        </is>
      </c>
      <c r="C194" s="10" t="inlineStr">
        <is>
          <t>P109</t>
        </is>
      </c>
      <c r="D194" s="10" t="inlineStr">
        <is>
          <t>Gel Pen Pack (10x)</t>
        </is>
      </c>
      <c r="E194" s="10" t="inlineStr">
        <is>
          <t>Office Supplies</t>
        </is>
      </c>
      <c r="F194" s="10" t="inlineStr">
        <is>
          <t>South</t>
        </is>
      </c>
      <c r="G194" s="10" t="n">
        <v>11</v>
      </c>
      <c r="H194" s="10" t="n">
        <v>240</v>
      </c>
      <c r="I194" s="10" t="n">
        <v>110</v>
      </c>
    </row>
    <row r="195">
      <c r="A195" s="10" t="inlineStr">
        <is>
          <t>ORD-2024104</t>
        </is>
      </c>
      <c r="B195" s="10" t="inlineStr">
        <is>
          <t>2024-12-03</t>
        </is>
      </c>
      <c r="C195" s="10" t="inlineStr">
        <is>
          <t>P102</t>
        </is>
      </c>
      <c r="D195" s="10" t="inlineStr">
        <is>
          <t>Wireless Mouse</t>
        </is>
      </c>
      <c r="E195" s="10" t="inlineStr">
        <is>
          <t>Electronics</t>
        </is>
      </c>
      <c r="F195" s="10" t="inlineStr">
        <is>
          <t>South</t>
        </is>
      </c>
      <c r="G195" s="10" t="n">
        <v>6</v>
      </c>
      <c r="H195" s="10" t="n">
        <v>750</v>
      </c>
      <c r="I195" s="10" t="n">
        <v>420</v>
      </c>
    </row>
    <row r="196">
      <c r="A196" s="10" t="inlineStr">
        <is>
          <t>ORD-2024172</t>
        </is>
      </c>
      <c r="B196" s="10" t="inlineStr">
        <is>
          <t>2024-07-13</t>
        </is>
      </c>
      <c r="C196" s="10" t="inlineStr">
        <is>
          <t>P108</t>
        </is>
      </c>
      <c r="D196" s="10" t="inlineStr">
        <is>
          <t>Executive Desk Lamp</t>
        </is>
      </c>
      <c r="E196" s="10" t="inlineStr">
        <is>
          <t>Furniture</t>
        </is>
      </c>
      <c r="F196" s="10" t="inlineStr">
        <is>
          <t>Central</t>
        </is>
      </c>
      <c r="G196" s="10" t="n">
        <v>5</v>
      </c>
      <c r="H196" s="10" t="n">
        <v>1469.02</v>
      </c>
      <c r="I196" s="10" t="n">
        <v>850</v>
      </c>
    </row>
    <row r="197">
      <c r="A197" s="10" t="inlineStr">
        <is>
          <t>ORD-2024099</t>
        </is>
      </c>
      <c r="B197" s="10" t="inlineStr">
        <is>
          <t>2024-12-22</t>
        </is>
      </c>
      <c r="C197" s="10" t="inlineStr">
        <is>
          <t>P105</t>
        </is>
      </c>
      <c r="D197" s="10" t="inlineStr">
        <is>
          <t>Ergonomic Office Chair</t>
        </is>
      </c>
      <c r="E197" s="10" t="inlineStr">
        <is>
          <t>Furniture</t>
        </is>
      </c>
      <c r="F197" s="10" t="inlineStr">
        <is>
          <t>East</t>
        </is>
      </c>
      <c r="G197" s="10" t="n">
        <v>2</v>
      </c>
      <c r="H197" s="10" t="n">
        <v>9499.049999999999</v>
      </c>
      <c r="I197" s="10" t="n">
        <v>6800</v>
      </c>
    </row>
    <row r="198">
      <c r="A198" s="10" t="inlineStr">
        <is>
          <t>ORD-2024037</t>
        </is>
      </c>
      <c r="B198" s="10" t="inlineStr">
        <is>
          <t>2024-12-19</t>
        </is>
      </c>
      <c r="C198" s="10" t="inlineStr">
        <is>
          <t>P104</t>
        </is>
      </c>
      <c r="D198" s="10" t="inlineStr">
        <is>
          <t>Noise-Cancelling Headphones</t>
        </is>
      </c>
      <c r="E198" s="10" t="inlineStr">
        <is>
          <t>Electronics</t>
        </is>
      </c>
      <c r="F198" s="10" t="inlineStr">
        <is>
          <t>West</t>
        </is>
      </c>
      <c r="G198" s="10" t="n">
        <v>4</v>
      </c>
      <c r="H198" s="10" t="n">
        <v>5999</v>
      </c>
      <c r="I198" s="10" t="n">
        <v>3600</v>
      </c>
    </row>
    <row r="199">
      <c r="A199" s="10" t="inlineStr">
        <is>
          <t>ORD-2024062</t>
        </is>
      </c>
      <c r="B199" s="10" t="inlineStr">
        <is>
          <t>2024-04-14</t>
        </is>
      </c>
      <c r="C199" s="10" t="inlineStr">
        <is>
          <t>P111</t>
        </is>
      </c>
      <c r="D199" s="10" t="inlineStr">
        <is>
          <t>Desk Organizer Tray</t>
        </is>
      </c>
      <c r="E199" s="10" t="inlineStr">
        <is>
          <t>Office Supplies</t>
        </is>
      </c>
      <c r="F199" s="10" t="inlineStr">
        <is>
          <t>West</t>
        </is>
      </c>
      <c r="G199" s="10" t="n">
        <v>4</v>
      </c>
      <c r="H199" s="10" t="n">
        <v>480</v>
      </c>
      <c r="I199" s="10" t="n">
        <v>260</v>
      </c>
    </row>
    <row r="200">
      <c r="A200" s="10" t="inlineStr">
        <is>
          <t>ORD-2024151</t>
        </is>
      </c>
      <c r="B200" s="10" t="inlineStr">
        <is>
          <t>2024-11-01</t>
        </is>
      </c>
      <c r="C200" s="10" t="inlineStr">
        <is>
          <t>P112</t>
        </is>
      </c>
      <c r="D200" s="10" t="inlineStr">
        <is>
          <t>USB-C Multiport Hub</t>
        </is>
      </c>
      <c r="E200" s="10" t="inlineStr">
        <is>
          <t>Accessories</t>
        </is>
      </c>
      <c r="F200" s="10" t="inlineStr">
        <is>
          <t>West</t>
        </is>
      </c>
      <c r="G200" s="10" t="n">
        <v>9</v>
      </c>
      <c r="H200" s="10" t="n">
        <v>1999</v>
      </c>
      <c r="I200" s="10" t="n">
        <v>1150</v>
      </c>
    </row>
    <row r="201">
      <c r="A201" s="10" t="inlineStr">
        <is>
          <t>ORD-2024247</t>
        </is>
      </c>
      <c r="B201" s="10" t="inlineStr">
        <is>
          <t>2024-04-23</t>
        </is>
      </c>
      <c r="C201" s="10" t="inlineStr">
        <is>
          <t>P111</t>
        </is>
      </c>
      <c r="D201" s="10" t="inlineStr">
        <is>
          <t>Desk Organizer Tray</t>
        </is>
      </c>
      <c r="E201" s="10" t="inlineStr">
        <is>
          <t>Office Supplies</t>
        </is>
      </c>
      <c r="F201" s="10" t="inlineStr">
        <is>
          <t>North</t>
        </is>
      </c>
      <c r="G201" s="10" t="n">
        <v>14</v>
      </c>
      <c r="H201" s="10" t="n">
        <v>456</v>
      </c>
      <c r="I201" s="10" t="n">
        <v>260</v>
      </c>
    </row>
    <row r="202">
      <c r="A202" s="10" t="inlineStr">
        <is>
          <t>ORD-2024211</t>
        </is>
      </c>
      <c r="B202" s="10" t="inlineStr">
        <is>
          <t>2024-12-05</t>
        </is>
      </c>
      <c r="C202" s="10" t="inlineStr">
        <is>
          <t>P113</t>
        </is>
      </c>
      <c r="D202" s="10" t="inlineStr">
        <is>
          <t>Laptop Backpack</t>
        </is>
      </c>
      <c r="E202" s="10" t="inlineStr">
        <is>
          <t>Accessories</t>
        </is>
      </c>
      <c r="F202" s="10" t="inlineStr">
        <is>
          <t>West</t>
        </is>
      </c>
      <c r="G202" s="10" t="n">
        <v>3</v>
      </c>
      <c r="H202" s="10" t="n">
        <v>1519.05</v>
      </c>
      <c r="I202" s="10" t="n">
        <v>820</v>
      </c>
    </row>
    <row r="203">
      <c r="A203" s="10" t="inlineStr">
        <is>
          <t>ORD-2024287</t>
        </is>
      </c>
      <c r="B203" s="10" t="inlineStr">
        <is>
          <t>2024-11-07</t>
        </is>
      </c>
      <c r="C203" s="10" t="inlineStr">
        <is>
          <t>P111</t>
        </is>
      </c>
      <c r="D203" s="10" t="inlineStr">
        <is>
          <t>Desk Organizer Tray</t>
        </is>
      </c>
      <c r="E203" s="10" t="inlineStr">
        <is>
          <t>Office Supplies</t>
        </is>
      </c>
      <c r="F203" s="10" t="inlineStr">
        <is>
          <t>West</t>
        </is>
      </c>
      <c r="G203" s="10" t="n">
        <v>5</v>
      </c>
      <c r="H203" s="10" t="n">
        <v>480</v>
      </c>
      <c r="I203" s="10" t="n">
        <v>260</v>
      </c>
    </row>
    <row r="204">
      <c r="A204" s="10" t="inlineStr">
        <is>
          <t>ORD-2024012</t>
        </is>
      </c>
      <c r="B204" s="10" t="inlineStr">
        <is>
          <t>2024-12-04</t>
        </is>
      </c>
      <c r="C204" s="10" t="inlineStr">
        <is>
          <t>P104</t>
        </is>
      </c>
      <c r="D204" s="10" t="inlineStr">
        <is>
          <t>Noise-Cancelling Headphones</t>
        </is>
      </c>
      <c r="E204" s="10" t="inlineStr">
        <is>
          <t>Electronics</t>
        </is>
      </c>
      <c r="F204" s="10" t="inlineStr">
        <is>
          <t>West</t>
        </is>
      </c>
      <c r="G204" s="10" t="n">
        <v>1</v>
      </c>
      <c r="H204" s="10" t="n">
        <v>5999</v>
      </c>
      <c r="I204" s="10" t="n">
        <v>3600</v>
      </c>
    </row>
    <row r="205">
      <c r="A205" s="10" t="inlineStr">
        <is>
          <t>ORD-2024991</t>
        </is>
      </c>
      <c r="B205" s="10" t="inlineStr">
        <is>
          <t>2024-02-05</t>
        </is>
      </c>
      <c r="C205" s="10" t="inlineStr">
        <is>
          <t>P113</t>
        </is>
      </c>
      <c r="D205" s="10" t="inlineStr">
        <is>
          <t>Laptop Backpack</t>
        </is>
      </c>
      <c r="E205" s="10" t="inlineStr">
        <is>
          <t>Accessories</t>
        </is>
      </c>
      <c r="F205" s="10" t="inlineStr"/>
      <c r="G205" s="10" t="n">
        <v>11</v>
      </c>
      <c r="H205" s="10" t="n">
        <v>1567.02</v>
      </c>
      <c r="I205" s="10" t="n">
        <v>820</v>
      </c>
    </row>
    <row r="206">
      <c r="A206" s="10" t="inlineStr">
        <is>
          <t>ORD-2024201</t>
        </is>
      </c>
      <c r="B206" s="10" t="inlineStr">
        <is>
          <t>2024-09-17</t>
        </is>
      </c>
      <c r="C206" s="10" t="inlineStr">
        <is>
          <t>P112</t>
        </is>
      </c>
      <c r="D206" s="10" t="inlineStr">
        <is>
          <t>USB-C Multiport Hub</t>
        </is>
      </c>
      <c r="E206" s="10" t="inlineStr">
        <is>
          <t>Accessories</t>
        </is>
      </c>
      <c r="F206" s="10" t="inlineStr">
        <is>
          <t>North</t>
        </is>
      </c>
      <c r="G206" s="10" t="n">
        <v>14</v>
      </c>
      <c r="H206" s="10" t="n">
        <v>1899.05</v>
      </c>
      <c r="I206" s="10" t="n">
        <v>1150</v>
      </c>
    </row>
    <row r="207">
      <c r="A207" s="10" t="inlineStr">
        <is>
          <t>ORD-2024274</t>
        </is>
      </c>
      <c r="B207" s="10" t="inlineStr">
        <is>
          <t>2024-11-05</t>
        </is>
      </c>
      <c r="C207" s="10" t="inlineStr">
        <is>
          <t>P107</t>
        </is>
      </c>
      <c r="D207" s="10" t="inlineStr">
        <is>
          <t>Bookshelf Cabinet</t>
        </is>
      </c>
      <c r="E207" s="10" t="inlineStr">
        <is>
          <t>Furniture</t>
        </is>
      </c>
      <c r="F207" s="10" t="inlineStr">
        <is>
          <t>North</t>
        </is>
      </c>
      <c r="G207" s="10" t="n">
        <v>1</v>
      </c>
      <c r="H207" s="10" t="n">
        <v>5831</v>
      </c>
      <c r="I207" s="10" t="n">
        <v>4100</v>
      </c>
    </row>
    <row r="208">
      <c r="A208" s="10" t="inlineStr">
        <is>
          <t>ORD-2024028</t>
        </is>
      </c>
      <c r="B208" s="10" t="inlineStr">
        <is>
          <t>2024-05-14</t>
        </is>
      </c>
      <c r="C208" s="10" t="inlineStr">
        <is>
          <t>P109</t>
        </is>
      </c>
      <c r="D208" s="10" t="inlineStr">
        <is>
          <t>Gel Pen Pack (10x)</t>
        </is>
      </c>
      <c r="E208" s="10" t="inlineStr">
        <is>
          <t>Office Supplies</t>
        </is>
      </c>
      <c r="F208" s="10" t="inlineStr">
        <is>
          <t>West</t>
        </is>
      </c>
      <c r="G208" s="10" t="n">
        <v>9</v>
      </c>
      <c r="H208" s="10" t="n">
        <v>240</v>
      </c>
      <c r="I208" s="10" t="n">
        <v>110</v>
      </c>
    </row>
    <row r="209">
      <c r="A209" s="10" t="inlineStr">
        <is>
          <t>ORD-2024229</t>
        </is>
      </c>
      <c r="B209" s="10" t="inlineStr">
        <is>
          <t>2024-08-21</t>
        </is>
      </c>
      <c r="C209" s="10" t="inlineStr">
        <is>
          <t>P114</t>
        </is>
      </c>
      <c r="D209" s="10" t="inlineStr">
        <is>
          <t>Webcam 1080p HD</t>
        </is>
      </c>
      <c r="E209" s="10" t="inlineStr">
        <is>
          <t>Accessories</t>
        </is>
      </c>
      <c r="F209" s="10" t="inlineStr">
        <is>
          <t>South</t>
        </is>
      </c>
      <c r="G209" s="10" t="n">
        <v>7</v>
      </c>
      <c r="H209" s="10" t="n">
        <v>2327.5</v>
      </c>
      <c r="I209" s="10" t="n">
        <v>1450</v>
      </c>
    </row>
    <row r="210">
      <c r="A210" s="10" t="inlineStr">
        <is>
          <t>ORD-2024005</t>
        </is>
      </c>
      <c r="B210" s="10" t="inlineStr">
        <is>
          <t>2024-08-02</t>
        </is>
      </c>
      <c r="C210" s="10" t="inlineStr">
        <is>
          <t>P104</t>
        </is>
      </c>
      <c r="D210" s="10" t="inlineStr">
        <is>
          <t>Noise-Cancelling Headphones</t>
        </is>
      </c>
      <c r="E210" s="10" t="inlineStr">
        <is>
          <t>Electronics</t>
        </is>
      </c>
      <c r="F210" s="10" t="inlineStr">
        <is>
          <t>South</t>
        </is>
      </c>
      <c r="G210" s="10" t="n">
        <v>3</v>
      </c>
      <c r="H210" s="10" t="n">
        <v>5999</v>
      </c>
      <c r="I210" s="10" t="n">
        <v>3600</v>
      </c>
    </row>
    <row r="211">
      <c r="A211" s="10" t="inlineStr">
        <is>
          <t>ORD-2024123</t>
        </is>
      </c>
      <c r="B211" s="10" t="inlineStr">
        <is>
          <t>2024-10-02</t>
        </is>
      </c>
      <c r="C211" s="10" t="inlineStr">
        <is>
          <t>P112</t>
        </is>
      </c>
      <c r="D211" s="10" t="inlineStr">
        <is>
          <t>USB-C Multiport Hub</t>
        </is>
      </c>
      <c r="E211" s="10" t="inlineStr">
        <is>
          <t>Accessories</t>
        </is>
      </c>
      <c r="F211" s="10" t="inlineStr">
        <is>
          <t>West</t>
        </is>
      </c>
      <c r="G211" s="10" t="n">
        <v>13</v>
      </c>
      <c r="H211" s="10" t="n">
        <v>1959.02</v>
      </c>
      <c r="I211" s="10" t="n">
        <v>1150</v>
      </c>
    </row>
    <row r="212">
      <c r="A212" s="10" t="inlineStr">
        <is>
          <t>ORD-2024033</t>
        </is>
      </c>
      <c r="B212" s="10" t="inlineStr">
        <is>
          <t>2024-05-03</t>
        </is>
      </c>
      <c r="C212" s="10" t="inlineStr">
        <is>
          <t>P110</t>
        </is>
      </c>
      <c r="D212" s="10" t="inlineStr">
        <is>
          <t>A4 Copier Paper (500s)</t>
        </is>
      </c>
      <c r="E212" s="10" t="inlineStr">
        <is>
          <t>Office Supplies</t>
        </is>
      </c>
      <c r="F212" s="10" t="inlineStr">
        <is>
          <t>Central</t>
        </is>
      </c>
      <c r="G212" s="10" t="n">
        <v>2</v>
      </c>
      <c r="H212" s="10" t="n">
        <v>304</v>
      </c>
      <c r="I212" s="10" t="n">
        <v>190</v>
      </c>
    </row>
    <row r="213">
      <c r="A213" s="10" t="inlineStr">
        <is>
          <t>ORD-2024240</t>
        </is>
      </c>
      <c r="B213" s="10" t="inlineStr">
        <is>
          <t>2024-09-13</t>
        </is>
      </c>
      <c r="C213" s="10" t="inlineStr">
        <is>
          <t>P105</t>
        </is>
      </c>
      <c r="D213" s="10" t="inlineStr">
        <is>
          <t>Ergonomic Office Chair</t>
        </is>
      </c>
      <c r="E213" s="10" t="inlineStr">
        <is>
          <t>Furniture</t>
        </is>
      </c>
      <c r="F213" s="10" t="inlineStr">
        <is>
          <t>West</t>
        </is>
      </c>
      <c r="G213" s="10" t="n">
        <v>3</v>
      </c>
      <c r="H213" s="10" t="n">
        <v>9499.049999999999</v>
      </c>
      <c r="I213" s="10" t="n">
        <v>6800</v>
      </c>
    </row>
    <row r="214">
      <c r="A214" s="10" t="inlineStr">
        <is>
          <t>ORD-2024163</t>
        </is>
      </c>
      <c r="B214" s="10" t="inlineStr">
        <is>
          <t>2024-12-28</t>
        </is>
      </c>
      <c r="C214" s="10" t="inlineStr">
        <is>
          <t>P109</t>
        </is>
      </c>
      <c r="D214" s="10" t="inlineStr">
        <is>
          <t>Gel Pen Pack (10x)</t>
        </is>
      </c>
      <c r="E214" s="10" t="inlineStr">
        <is>
          <t>Office Supplies</t>
        </is>
      </c>
      <c r="F214" s="10" t="inlineStr">
        <is>
          <t>North</t>
        </is>
      </c>
      <c r="G214" s="10" t="n">
        <v>1</v>
      </c>
      <c r="H214" s="10" t="n">
        <v>240</v>
      </c>
      <c r="I214" s="10" t="n">
        <v>110</v>
      </c>
    </row>
    <row r="215">
      <c r="A215" s="10" t="inlineStr">
        <is>
          <t>ORD-2024219</t>
        </is>
      </c>
      <c r="B215" s="10" t="inlineStr">
        <is>
          <t>2024-04-26</t>
        </is>
      </c>
      <c r="C215" s="10" t="inlineStr">
        <is>
          <t>P112</t>
        </is>
      </c>
      <c r="D215" s="10" t="inlineStr">
        <is>
          <t>USB-C Multiport Hub</t>
        </is>
      </c>
      <c r="E215" s="10" t="inlineStr">
        <is>
          <t>Accessories</t>
        </is>
      </c>
      <c r="F215" s="10" t="inlineStr">
        <is>
          <t>North</t>
        </is>
      </c>
      <c r="G215" s="10" t="n">
        <v>2</v>
      </c>
      <c r="H215" s="10" t="n">
        <v>1999</v>
      </c>
      <c r="I215" s="10" t="n">
        <v>1150</v>
      </c>
    </row>
    <row r="216">
      <c r="A216" s="10" t="inlineStr">
        <is>
          <t>ORD-2024262</t>
        </is>
      </c>
      <c r="B216" s="10" t="inlineStr">
        <is>
          <t>2024-10-03</t>
        </is>
      </c>
      <c r="C216" s="10" t="inlineStr">
        <is>
          <t>P105</t>
        </is>
      </c>
      <c r="D216" s="10" t="inlineStr">
        <is>
          <t>Ergonomic Office Chair</t>
        </is>
      </c>
      <c r="E216" s="10" t="inlineStr">
        <is>
          <t>Furniture</t>
        </is>
      </c>
      <c r="F216" s="10" t="inlineStr">
        <is>
          <t>West</t>
        </is>
      </c>
      <c r="G216" s="10" t="n">
        <v>1</v>
      </c>
      <c r="H216" s="10" t="n">
        <v>9999</v>
      </c>
      <c r="I216" s="10" t="n">
        <v>6800</v>
      </c>
    </row>
    <row r="217">
      <c r="A217" s="10" t="inlineStr">
        <is>
          <t>ORD-2024139</t>
        </is>
      </c>
      <c r="B217" s="10" t="inlineStr">
        <is>
          <t>2024-04-11</t>
        </is>
      </c>
      <c r="C217" s="10" t="inlineStr">
        <is>
          <t>P102</t>
        </is>
      </c>
      <c r="D217" s="10" t="inlineStr">
        <is>
          <t>Wireless Mouse</t>
        </is>
      </c>
      <c r="E217" s="10" t="inlineStr">
        <is>
          <t>Electronics</t>
        </is>
      </c>
      <c r="F217" s="10" t="inlineStr">
        <is>
          <t>East</t>
        </is>
      </c>
      <c r="G217" s="10" t="n">
        <v>4</v>
      </c>
      <c r="H217" s="10" t="n">
        <v>750</v>
      </c>
      <c r="I217" s="10" t="n">
        <v>420</v>
      </c>
    </row>
    <row r="218">
      <c r="A218" s="10" t="inlineStr">
        <is>
          <t>ORD-2024063</t>
        </is>
      </c>
      <c r="B218" s="10" t="inlineStr">
        <is>
          <t>2024-07-21</t>
        </is>
      </c>
      <c r="C218" s="10" t="inlineStr">
        <is>
          <t>P103</t>
        </is>
      </c>
      <c r="D218" s="10" t="inlineStr">
        <is>
          <t>Mechanical Keyboard</t>
        </is>
      </c>
      <c r="E218" s="10" t="inlineStr">
        <is>
          <t>Electronics</t>
        </is>
      </c>
      <c r="F218" s="10" t="inlineStr">
        <is>
          <t>East</t>
        </is>
      </c>
      <c r="G218" s="10" t="n">
        <v>3</v>
      </c>
      <c r="H218" s="10" t="n">
        <v>2660</v>
      </c>
      <c r="I218" s="10" t="n">
        <v>1850</v>
      </c>
    </row>
    <row r="219">
      <c r="A219" s="10" t="inlineStr">
        <is>
          <t>ORD-2024216</t>
        </is>
      </c>
      <c r="B219" s="10" t="inlineStr">
        <is>
          <t>2024-12-20</t>
        </is>
      </c>
      <c r="C219" s="10" t="inlineStr">
        <is>
          <t>P107</t>
        </is>
      </c>
      <c r="D219" s="10" t="inlineStr">
        <is>
          <t>Bookshelf Cabinet</t>
        </is>
      </c>
      <c r="E219" s="10" t="inlineStr">
        <is>
          <t>Furniture</t>
        </is>
      </c>
      <c r="F219" s="10" t="inlineStr">
        <is>
          <t>East</t>
        </is>
      </c>
      <c r="G219" s="10" t="n">
        <v>3</v>
      </c>
      <c r="H219" s="10" t="n">
        <v>5831</v>
      </c>
      <c r="I219" s="10" t="n">
        <v>4100</v>
      </c>
    </row>
    <row r="220">
      <c r="A220" s="10" t="inlineStr">
        <is>
          <t>ORD-2024136</t>
        </is>
      </c>
      <c r="B220" s="10" t="inlineStr">
        <is>
          <t>2024-11-06</t>
        </is>
      </c>
      <c r="C220" s="10" t="inlineStr">
        <is>
          <t>P110</t>
        </is>
      </c>
      <c r="D220" s="10" t="inlineStr">
        <is>
          <t>A4 Copier Paper (500s)</t>
        </is>
      </c>
      <c r="E220" s="10" t="inlineStr">
        <is>
          <t>Office Supplies</t>
        </is>
      </c>
      <c r="F220" s="10" t="inlineStr">
        <is>
          <t>Central</t>
        </is>
      </c>
      <c r="G220" s="10" t="n">
        <v>12</v>
      </c>
      <c r="H220" s="10" t="n">
        <v>320</v>
      </c>
      <c r="I220" s="10" t="n">
        <v>190</v>
      </c>
    </row>
    <row r="221">
      <c r="A221" s="10" t="inlineStr">
        <is>
          <t>ORD-2024129</t>
        </is>
      </c>
      <c r="B221" s="10" t="inlineStr">
        <is>
          <t>2024-07-13</t>
        </is>
      </c>
      <c r="C221" s="10" t="inlineStr">
        <is>
          <t>P106</t>
        </is>
      </c>
      <c r="D221" s="10" t="inlineStr">
        <is>
          <t>Standing Desk</t>
        </is>
      </c>
      <c r="E221" s="10" t="inlineStr">
        <is>
          <t>Furniture</t>
        </is>
      </c>
      <c r="F221" s="10" t="inlineStr">
        <is>
          <t>North</t>
        </is>
      </c>
      <c r="G221" s="10" t="n">
        <v>3</v>
      </c>
      <c r="H221" s="10" t="n">
        <v>18500</v>
      </c>
      <c r="I221" s="10" t="n">
        <v>12500</v>
      </c>
    </row>
    <row r="222">
      <c r="A222" s="10" t="inlineStr">
        <is>
          <t>ORD-2024297</t>
        </is>
      </c>
      <c r="B222" s="10" t="inlineStr">
        <is>
          <t>2024-08-08</t>
        </is>
      </c>
      <c r="C222" s="10" t="inlineStr">
        <is>
          <t>P102</t>
        </is>
      </c>
      <c r="D222" s="10" t="inlineStr">
        <is>
          <t>Wireless Mouse</t>
        </is>
      </c>
      <c r="E222" s="10" t="inlineStr">
        <is>
          <t>Electronics</t>
        </is>
      </c>
      <c r="F222" s="10" t="inlineStr">
        <is>
          <t>South</t>
        </is>
      </c>
      <c r="G222" s="10" t="n">
        <v>8</v>
      </c>
      <c r="H222" s="10" t="n">
        <v>735</v>
      </c>
      <c r="I222" s="10" t="n">
        <v>420</v>
      </c>
    </row>
    <row r="223">
      <c r="A223" s="10" t="inlineStr">
        <is>
          <t>ORD-2024009</t>
        </is>
      </c>
      <c r="B223" s="10" t="inlineStr">
        <is>
          <t>2024-08-23</t>
        </is>
      </c>
      <c r="C223" s="10" t="inlineStr">
        <is>
          <t>P109</t>
        </is>
      </c>
      <c r="D223" s="10" t="inlineStr">
        <is>
          <t>Gel Pen Pack (10x)</t>
        </is>
      </c>
      <c r="E223" s="10" t="inlineStr">
        <is>
          <t>Office Supplies</t>
        </is>
      </c>
      <c r="F223" s="10" t="inlineStr">
        <is>
          <t>North</t>
        </is>
      </c>
      <c r="G223" s="10" t="n">
        <v>15</v>
      </c>
      <c r="H223" s="10" t="n">
        <v>228</v>
      </c>
      <c r="I223" s="10" t="n">
        <v>110</v>
      </c>
    </row>
    <row r="224">
      <c r="A224" s="10" t="inlineStr">
        <is>
          <t>ORD-2024071</t>
        </is>
      </c>
      <c r="B224" s="10" t="inlineStr">
        <is>
          <t>2024-03-20</t>
        </is>
      </c>
      <c r="C224" s="10" t="inlineStr">
        <is>
          <t>P105</t>
        </is>
      </c>
      <c r="D224" s="10" t="inlineStr">
        <is>
          <t>Ergonomic Office Chair</t>
        </is>
      </c>
      <c r="E224" s="10" t="inlineStr">
        <is>
          <t>Furniture</t>
        </is>
      </c>
      <c r="F224" s="10" t="inlineStr">
        <is>
          <t>South</t>
        </is>
      </c>
      <c r="G224" s="10" t="n">
        <v>2</v>
      </c>
      <c r="H224" s="10" t="n">
        <v>9999</v>
      </c>
      <c r="I224" s="10" t="n">
        <v>6800</v>
      </c>
    </row>
    <row r="225">
      <c r="A225" s="10" t="inlineStr">
        <is>
          <t>ORD-2024281</t>
        </is>
      </c>
      <c r="B225" s="10" t="inlineStr">
        <is>
          <t>2024-07-29</t>
        </is>
      </c>
      <c r="C225" s="10" t="inlineStr">
        <is>
          <t>P106</t>
        </is>
      </c>
      <c r="D225" s="10" t="inlineStr">
        <is>
          <t>Standing Desk</t>
        </is>
      </c>
      <c r="E225" s="10" t="inlineStr">
        <is>
          <t>Furniture</t>
        </is>
      </c>
      <c r="F225" s="10" t="inlineStr">
        <is>
          <t>West</t>
        </is>
      </c>
      <c r="G225" s="10" t="n">
        <v>4</v>
      </c>
      <c r="H225" s="10" t="n">
        <v>18500</v>
      </c>
      <c r="I225" s="10" t="n">
        <v>12500</v>
      </c>
    </row>
    <row r="226">
      <c r="A226" s="10" t="inlineStr">
        <is>
          <t>ORD-2024065</t>
        </is>
      </c>
      <c r="B226" s="10" t="inlineStr">
        <is>
          <t>2024-11-14</t>
        </is>
      </c>
      <c r="C226" s="10" t="inlineStr">
        <is>
          <t>P110</t>
        </is>
      </c>
      <c r="D226" s="10" t="inlineStr">
        <is>
          <t>A4 Copier Paper (500s)</t>
        </is>
      </c>
      <c r="E226" s="10" t="inlineStr">
        <is>
          <t>Office Supplies</t>
        </is>
      </c>
      <c r="F226" s="10" t="inlineStr">
        <is>
          <t>Central</t>
        </is>
      </c>
      <c r="G226" s="10" t="n">
        <v>2</v>
      </c>
      <c r="H226" s="10" t="n">
        <v>313.6</v>
      </c>
      <c r="I226" s="10" t="n">
        <v>190</v>
      </c>
    </row>
    <row r="227">
      <c r="A227" s="10" t="inlineStr">
        <is>
          <t>ORD-2024045</t>
        </is>
      </c>
      <c r="B227" s="10" t="inlineStr">
        <is>
          <t>2024-02-18</t>
        </is>
      </c>
      <c r="C227" s="10" t="inlineStr">
        <is>
          <t>P102</t>
        </is>
      </c>
      <c r="D227" s="10" t="inlineStr">
        <is>
          <t>Wireless Mouse</t>
        </is>
      </c>
      <c r="E227" s="10" t="inlineStr">
        <is>
          <t>Electronics</t>
        </is>
      </c>
      <c r="F227" s="10" t="inlineStr">
        <is>
          <t>East</t>
        </is>
      </c>
      <c r="G227" s="10" t="n">
        <v>6</v>
      </c>
      <c r="H227" s="10" t="n">
        <v>712.5</v>
      </c>
      <c r="I227" s="10" t="n">
        <v>420</v>
      </c>
    </row>
    <row r="228">
      <c r="A228" s="10" t="inlineStr">
        <is>
          <t>ORD-2024246</t>
        </is>
      </c>
      <c r="B228" s="10" t="inlineStr">
        <is>
          <t>2024-12-11</t>
        </is>
      </c>
      <c r="C228" s="10" t="inlineStr">
        <is>
          <t>P104</t>
        </is>
      </c>
      <c r="D228" s="10" t="inlineStr">
        <is>
          <t>Noise-Cancelling Headphones</t>
        </is>
      </c>
      <c r="E228" s="10" t="inlineStr">
        <is>
          <t>Electronics</t>
        </is>
      </c>
      <c r="F228" s="10" t="inlineStr">
        <is>
          <t>South</t>
        </is>
      </c>
      <c r="G228" s="10" t="n">
        <v>3</v>
      </c>
      <c r="H228" s="10" t="n">
        <v>5879.02</v>
      </c>
      <c r="I228" s="10" t="n">
        <v>3600</v>
      </c>
    </row>
    <row r="229">
      <c r="A229" s="10" t="inlineStr">
        <is>
          <t>ORD-2024157</t>
        </is>
      </c>
      <c r="B229" s="10" t="inlineStr">
        <is>
          <t>2024-10-08</t>
        </is>
      </c>
      <c r="C229" s="10" t="inlineStr">
        <is>
          <t>P106</t>
        </is>
      </c>
      <c r="D229" s="10" t="inlineStr">
        <is>
          <t>Standing Desk</t>
        </is>
      </c>
      <c r="E229" s="10" t="inlineStr">
        <is>
          <t>Furniture</t>
        </is>
      </c>
      <c r="F229" s="10" t="inlineStr">
        <is>
          <t>South</t>
        </is>
      </c>
      <c r="G229" s="10" t="n">
        <v>4</v>
      </c>
      <c r="H229" s="10" t="n">
        <v>18500</v>
      </c>
      <c r="I229" s="10" t="n">
        <v>12500</v>
      </c>
    </row>
    <row r="230">
      <c r="A230" s="10" t="inlineStr">
        <is>
          <t>ORD-2024041</t>
        </is>
      </c>
      <c r="B230" s="10" t="inlineStr">
        <is>
          <t>2024-02-04</t>
        </is>
      </c>
      <c r="C230" s="10" t="inlineStr">
        <is>
          <t>P101</t>
        </is>
      </c>
      <c r="D230" s="10" t="inlineStr">
        <is>
          <t>Laptop Pro 15</t>
        </is>
      </c>
      <c r="E230" s="10" t="inlineStr">
        <is>
          <t>Electronics</t>
        </is>
      </c>
      <c r="F230" s="10" t="inlineStr">
        <is>
          <t>West</t>
        </is>
      </c>
      <c r="G230" s="10" t="n">
        <v>1</v>
      </c>
      <c r="H230" s="10" t="n">
        <v>53900</v>
      </c>
      <c r="I230" s="10" t="n">
        <v>45000</v>
      </c>
    </row>
    <row r="231">
      <c r="A231" s="10" t="inlineStr">
        <is>
          <t>ORD-2024124</t>
        </is>
      </c>
      <c r="B231" s="10" t="inlineStr">
        <is>
          <t>2024-04-22</t>
        </is>
      </c>
      <c r="C231" s="10" t="inlineStr">
        <is>
          <t>P108</t>
        </is>
      </c>
      <c r="D231" s="10" t="inlineStr">
        <is>
          <t>Executive Desk Lamp</t>
        </is>
      </c>
      <c r="E231" s="10" t="inlineStr">
        <is>
          <t>Furniture</t>
        </is>
      </c>
      <c r="F231" s="10" t="inlineStr">
        <is>
          <t>North</t>
        </is>
      </c>
      <c r="G231" s="10" t="n">
        <v>7</v>
      </c>
      <c r="H231" s="10" t="n">
        <v>1424.05</v>
      </c>
      <c r="I231" s="10" t="n">
        <v>850</v>
      </c>
    </row>
    <row r="232">
      <c r="A232" s="10" t="inlineStr">
        <is>
          <t>ORD-2024282</t>
        </is>
      </c>
      <c r="B232" s="10" t="inlineStr">
        <is>
          <t>2024-05-27</t>
        </is>
      </c>
      <c r="C232" s="10" t="inlineStr">
        <is>
          <t>P110</t>
        </is>
      </c>
      <c r="D232" s="10" t="inlineStr">
        <is>
          <t>A4 Copier Paper (500s)</t>
        </is>
      </c>
      <c r="E232" s="10" t="inlineStr">
        <is>
          <t>Office Supplies</t>
        </is>
      </c>
      <c r="F232" s="10" t="inlineStr">
        <is>
          <t>South</t>
        </is>
      </c>
      <c r="G232" s="10" t="n">
        <v>2</v>
      </c>
      <c r="H232" s="10" t="n">
        <v>313.6</v>
      </c>
      <c r="I232" s="10" t="n">
        <v>190</v>
      </c>
    </row>
    <row r="233">
      <c r="A233" s="10" t="inlineStr">
        <is>
          <t>ORD-2024217</t>
        </is>
      </c>
      <c r="B233" s="10" t="inlineStr">
        <is>
          <t>2024-07-13</t>
        </is>
      </c>
      <c r="C233" s="10" t="inlineStr">
        <is>
          <t>P106</t>
        </is>
      </c>
      <c r="D233" s="10" t="inlineStr">
        <is>
          <t>Standing Desk</t>
        </is>
      </c>
      <c r="E233" s="10" t="inlineStr">
        <is>
          <t>Furniture</t>
        </is>
      </c>
      <c r="F233" s="10" t="inlineStr">
        <is>
          <t>East</t>
        </is>
      </c>
      <c r="G233" s="10" t="n">
        <v>4</v>
      </c>
      <c r="H233" s="10" t="n">
        <v>18130</v>
      </c>
      <c r="I233" s="10" t="n">
        <v>12500</v>
      </c>
    </row>
    <row r="234">
      <c r="A234" s="10" t="inlineStr">
        <is>
          <t>ORD-2024154</t>
        </is>
      </c>
      <c r="B234" s="10" t="inlineStr">
        <is>
          <t>2024-08-17</t>
        </is>
      </c>
      <c r="C234" s="10" t="inlineStr">
        <is>
          <t>P113</t>
        </is>
      </c>
      <c r="D234" s="10" t="inlineStr">
        <is>
          <t>Laptop Backpack</t>
        </is>
      </c>
      <c r="E234" s="10" t="inlineStr">
        <is>
          <t>Accessories</t>
        </is>
      </c>
      <c r="F234" s="10" t="inlineStr">
        <is>
          <t>North</t>
        </is>
      </c>
      <c r="G234" s="10" t="n">
        <v>5</v>
      </c>
      <c r="H234" s="10" t="n">
        <v>1599</v>
      </c>
      <c r="I234" s="10" t="n">
        <v>820</v>
      </c>
    </row>
    <row r="235">
      <c r="A235" s="10" t="inlineStr">
        <is>
          <t>ORD-2024024</t>
        </is>
      </c>
      <c r="B235" s="10" t="inlineStr">
        <is>
          <t>2024-11-01</t>
        </is>
      </c>
      <c r="C235" s="10" t="inlineStr">
        <is>
          <t>P102</t>
        </is>
      </c>
      <c r="D235" s="10" t="inlineStr">
        <is>
          <t>Wireless Mouse</t>
        </is>
      </c>
      <c r="E235" s="10" t="inlineStr">
        <is>
          <t>Electronics</t>
        </is>
      </c>
      <c r="F235" s="10" t="inlineStr">
        <is>
          <t>South</t>
        </is>
      </c>
      <c r="G235" s="10" t="n">
        <v>8</v>
      </c>
      <c r="H235" s="10" t="n">
        <v>735</v>
      </c>
      <c r="I235" s="10" t="n">
        <v>420</v>
      </c>
    </row>
    <row r="236">
      <c r="A236" s="10" t="inlineStr">
        <is>
          <t>ORD-2024267</t>
        </is>
      </c>
      <c r="B236" s="10" t="inlineStr">
        <is>
          <t>2024-08-19</t>
        </is>
      </c>
      <c r="C236" s="10" t="inlineStr">
        <is>
          <t>P109</t>
        </is>
      </c>
      <c r="D236" s="10" t="inlineStr">
        <is>
          <t>Gel Pen Pack (10x)</t>
        </is>
      </c>
      <c r="E236" s="10" t="inlineStr">
        <is>
          <t>Office Supplies</t>
        </is>
      </c>
      <c r="F236" s="10" t="inlineStr">
        <is>
          <t>North</t>
        </is>
      </c>
      <c r="G236" s="10" t="n">
        <v>10</v>
      </c>
      <c r="H236" s="10" t="n">
        <v>240</v>
      </c>
      <c r="I236" s="10" t="n">
        <v>110</v>
      </c>
    </row>
    <row r="237">
      <c r="A237" s="10" t="inlineStr">
        <is>
          <t>ORD-2024111</t>
        </is>
      </c>
      <c r="B237" s="10" t="inlineStr">
        <is>
          <t>2024-03-09</t>
        </is>
      </c>
      <c r="C237" s="10" t="inlineStr">
        <is>
          <t>P113</t>
        </is>
      </c>
      <c r="D237" s="10" t="inlineStr">
        <is>
          <t>Laptop Backpack</t>
        </is>
      </c>
      <c r="E237" s="10" t="inlineStr">
        <is>
          <t>Accessories</t>
        </is>
      </c>
      <c r="F237" s="10" t="inlineStr">
        <is>
          <t>South</t>
        </is>
      </c>
      <c r="G237" s="10" t="n">
        <v>9</v>
      </c>
      <c r="H237" s="10" t="n">
        <v>1567.02</v>
      </c>
      <c r="I237" s="10" t="n">
        <v>820</v>
      </c>
    </row>
    <row r="238">
      <c r="A238" s="10" t="inlineStr">
        <is>
          <t>ORD-2024082</t>
        </is>
      </c>
      <c r="B238" s="10" t="inlineStr">
        <is>
          <t>2024-05-01</t>
        </is>
      </c>
      <c r="C238" s="10" t="inlineStr">
        <is>
          <t>P114</t>
        </is>
      </c>
      <c r="D238" s="10" t="inlineStr">
        <is>
          <t>Webcam 1080p HD</t>
        </is>
      </c>
      <c r="E238" s="10" t="inlineStr">
        <is>
          <t>Accessories</t>
        </is>
      </c>
      <c r="F238" s="10" t="inlineStr">
        <is>
          <t>North</t>
        </is>
      </c>
      <c r="G238" s="10" t="n">
        <v>13</v>
      </c>
      <c r="H238" s="10" t="n">
        <v>2450</v>
      </c>
      <c r="I238" s="10" t="n">
        <v>1450</v>
      </c>
    </row>
    <row r="239">
      <c r="A239" s="10" t="inlineStr">
        <is>
          <t>ORD-2024237</t>
        </is>
      </c>
      <c r="B239" s="10" t="inlineStr">
        <is>
          <t>2024-01-18</t>
        </is>
      </c>
      <c r="C239" s="10" t="inlineStr">
        <is>
          <t>P110</t>
        </is>
      </c>
      <c r="D239" s="10" t="inlineStr">
        <is>
          <t>A4 Copier Paper (500s)</t>
        </is>
      </c>
      <c r="E239" s="10" t="inlineStr">
        <is>
          <t>Office Supplies</t>
        </is>
      </c>
      <c r="F239" s="10" t="inlineStr">
        <is>
          <t>South</t>
        </is>
      </c>
      <c r="G239" s="10" t="n">
        <v>3</v>
      </c>
      <c r="H239" s="10" t="n">
        <v>320</v>
      </c>
      <c r="I239" s="10" t="n">
        <v>190</v>
      </c>
    </row>
    <row r="240">
      <c r="A240" s="10" t="inlineStr">
        <is>
          <t>ORD-2024208</t>
        </is>
      </c>
      <c r="B240" s="10" t="inlineStr">
        <is>
          <t>2024-10-05</t>
        </is>
      </c>
      <c r="C240" s="10" t="inlineStr">
        <is>
          <t>P107</t>
        </is>
      </c>
      <c r="D240" s="10" t="inlineStr">
        <is>
          <t>Bookshelf Cabinet</t>
        </is>
      </c>
      <c r="E240" s="10" t="inlineStr">
        <is>
          <t>Furniture</t>
        </is>
      </c>
      <c r="F240" s="10" t="inlineStr">
        <is>
          <t>South</t>
        </is>
      </c>
      <c r="G240" s="10" t="n">
        <v>3</v>
      </c>
      <c r="H240" s="10" t="n">
        <v>5950</v>
      </c>
      <c r="I240" s="10" t="n">
        <v>4100</v>
      </c>
    </row>
    <row r="241">
      <c r="A241" s="10" t="inlineStr">
        <is>
          <t>ORD-2024213</t>
        </is>
      </c>
      <c r="B241" s="10" t="inlineStr">
        <is>
          <t>2024-08-13</t>
        </is>
      </c>
      <c r="C241" s="10" t="inlineStr">
        <is>
          <t>P102</t>
        </is>
      </c>
      <c r="D241" s="10" t="inlineStr">
        <is>
          <t>Wireless Mouse</t>
        </is>
      </c>
      <c r="E241" s="10" t="inlineStr">
        <is>
          <t>Electronics</t>
        </is>
      </c>
      <c r="F241" s="10" t="inlineStr">
        <is>
          <t>East</t>
        </is>
      </c>
      <c r="G241" s="10" t="n">
        <v>8</v>
      </c>
      <c r="H241" s="10" t="n">
        <v>750</v>
      </c>
      <c r="I241" s="10" t="n">
        <v>420</v>
      </c>
    </row>
    <row r="242">
      <c r="A242" s="10" t="inlineStr">
        <is>
          <t>ORD-2024040</t>
        </is>
      </c>
      <c r="B242" s="10" t="inlineStr">
        <is>
          <t>2024-04-22</t>
        </is>
      </c>
      <c r="C242" s="10" t="inlineStr">
        <is>
          <t>P101</t>
        </is>
      </c>
      <c r="D242" s="10" t="inlineStr">
        <is>
          <t>Laptop Pro 15</t>
        </is>
      </c>
      <c r="E242" s="10" t="inlineStr">
        <is>
          <t>Electronics</t>
        </is>
      </c>
      <c r="F242" s="10" t="inlineStr">
        <is>
          <t>North</t>
        </is>
      </c>
      <c r="G242" s="10" t="n">
        <v>1</v>
      </c>
      <c r="H242" s="10" t="n">
        <v>55000</v>
      </c>
      <c r="I242" s="10" t="n">
        <v>45000</v>
      </c>
    </row>
    <row r="243">
      <c r="A243" s="10" t="inlineStr">
        <is>
          <t>ORD-2024251</t>
        </is>
      </c>
      <c r="B243" s="10" t="inlineStr">
        <is>
          <t>2024-08-20</t>
        </is>
      </c>
      <c r="C243" s="10" t="inlineStr">
        <is>
          <t>P106</t>
        </is>
      </c>
      <c r="D243" s="10" t="inlineStr">
        <is>
          <t>Standing Desk</t>
        </is>
      </c>
      <c r="E243" s="10" t="inlineStr">
        <is>
          <t>Furniture</t>
        </is>
      </c>
      <c r="F243" s="10" t="inlineStr">
        <is>
          <t>East</t>
        </is>
      </c>
      <c r="G243" s="10" t="n">
        <v>4</v>
      </c>
      <c r="H243" s="10" t="n">
        <v>18130</v>
      </c>
      <c r="I243" s="10" t="n">
        <v>12500</v>
      </c>
    </row>
    <row r="244">
      <c r="A244" s="10" t="inlineStr">
        <is>
          <t>ORD-2024298</t>
        </is>
      </c>
      <c r="B244" s="10" t="inlineStr">
        <is>
          <t>2024-12-07</t>
        </is>
      </c>
      <c r="C244" s="10" t="inlineStr">
        <is>
          <t>P105</t>
        </is>
      </c>
      <c r="D244" s="10" t="inlineStr">
        <is>
          <t>Ergonomic Office Chair</t>
        </is>
      </c>
      <c r="E244" s="10" t="inlineStr">
        <is>
          <t>Furniture</t>
        </is>
      </c>
      <c r="F244" s="10" t="inlineStr">
        <is>
          <t>North</t>
        </is>
      </c>
      <c r="G244" s="10" t="n">
        <v>4</v>
      </c>
      <c r="H244" s="10" t="n">
        <v>9799.02</v>
      </c>
      <c r="I244" s="10" t="n">
        <v>6800</v>
      </c>
    </row>
    <row r="245">
      <c r="A245" s="10" t="inlineStr">
        <is>
          <t>ORD-2024263</t>
        </is>
      </c>
      <c r="B245" s="10" t="inlineStr">
        <is>
          <t>2024-03-08</t>
        </is>
      </c>
      <c r="C245" s="10" t="inlineStr">
        <is>
          <t>P101</t>
        </is>
      </c>
      <c r="D245" s="10" t="inlineStr">
        <is>
          <t>Laptop Pro 15</t>
        </is>
      </c>
      <c r="E245" s="10" t="inlineStr">
        <is>
          <t>Electronics</t>
        </is>
      </c>
      <c r="F245" s="10" t="inlineStr">
        <is>
          <t>South</t>
        </is>
      </c>
      <c r="G245" s="10" t="n">
        <v>2</v>
      </c>
      <c r="H245" s="10" t="n">
        <v>53900</v>
      </c>
      <c r="I245" s="10" t="n">
        <v>45000</v>
      </c>
    </row>
    <row r="246">
      <c r="A246" s="10" t="inlineStr">
        <is>
          <t>ORD-2024200</t>
        </is>
      </c>
      <c r="B246" s="10" t="inlineStr">
        <is>
          <t>2024-03-01</t>
        </is>
      </c>
      <c r="C246" s="10" t="inlineStr">
        <is>
          <t>P111</t>
        </is>
      </c>
      <c r="D246" s="10" t="inlineStr">
        <is>
          <t>Desk Organizer Tray</t>
        </is>
      </c>
      <c r="E246" s="10" t="inlineStr">
        <is>
          <t>Office Supplies</t>
        </is>
      </c>
      <c r="F246" s="10" t="inlineStr">
        <is>
          <t>West</t>
        </is>
      </c>
      <c r="G246" s="10" t="n">
        <v>8</v>
      </c>
      <c r="H246" s="10" t="n">
        <v>480</v>
      </c>
      <c r="I246" s="10" t="n">
        <v>260</v>
      </c>
    </row>
    <row r="247">
      <c r="A247" s="10" t="inlineStr">
        <is>
          <t>ORD-2024015</t>
        </is>
      </c>
      <c r="B247" s="10" t="inlineStr">
        <is>
          <t>2024-11-07</t>
        </is>
      </c>
      <c r="C247" s="10" t="inlineStr">
        <is>
          <t>P111</t>
        </is>
      </c>
      <c r="D247" s="10" t="inlineStr">
        <is>
          <t>Desk Organizer Tray</t>
        </is>
      </c>
      <c r="E247" s="10" t="inlineStr">
        <is>
          <t>Office Supplies</t>
        </is>
      </c>
      <c r="F247" s="10" t="inlineStr">
        <is>
          <t>North</t>
        </is>
      </c>
      <c r="G247" s="10" t="n">
        <v>12</v>
      </c>
      <c r="H247" s="10" t="n">
        <v>480</v>
      </c>
      <c r="I247" s="10" t="n">
        <v>260</v>
      </c>
    </row>
    <row r="248">
      <c r="A248" s="10" t="inlineStr">
        <is>
          <t>ORD-2024048</t>
        </is>
      </c>
      <c r="B248" s="10" t="inlineStr">
        <is>
          <t>2024-04-08</t>
        </is>
      </c>
      <c r="C248" s="10" t="inlineStr">
        <is>
          <t>P104</t>
        </is>
      </c>
      <c r="D248" s="10" t="inlineStr">
        <is>
          <t>Noise-Cancelling Headphones</t>
        </is>
      </c>
      <c r="E248" s="10" t="inlineStr">
        <is>
          <t>Electronics</t>
        </is>
      </c>
      <c r="F248" s="10" t="inlineStr">
        <is>
          <t>East</t>
        </is>
      </c>
      <c r="G248" s="10" t="n">
        <v>2</v>
      </c>
      <c r="H248" s="10" t="n">
        <v>5699.05</v>
      </c>
      <c r="I248" s="10" t="n">
        <v>3600</v>
      </c>
    </row>
    <row r="249">
      <c r="A249" s="10" t="inlineStr">
        <is>
          <t>ORD-2024095</t>
        </is>
      </c>
      <c r="B249" s="10" t="inlineStr">
        <is>
          <t>2024-09-23</t>
        </is>
      </c>
      <c r="C249" s="10" t="inlineStr">
        <is>
          <t>P113</t>
        </is>
      </c>
      <c r="D249" s="10" t="inlineStr">
        <is>
          <t>Laptop Backpack</t>
        </is>
      </c>
      <c r="E249" s="10" t="inlineStr">
        <is>
          <t>Accessories</t>
        </is>
      </c>
      <c r="F249" s="10" t="inlineStr">
        <is>
          <t>East</t>
        </is>
      </c>
      <c r="G249" s="10" t="n">
        <v>12</v>
      </c>
      <c r="H249" s="10" t="n">
        <v>1599</v>
      </c>
      <c r="I249" s="10" t="n">
        <v>820</v>
      </c>
    </row>
    <row r="250">
      <c r="A250" s="10" t="inlineStr">
        <is>
          <t>ORD-2024270</t>
        </is>
      </c>
      <c r="B250" s="10" t="inlineStr">
        <is>
          <t>2024-09-08</t>
        </is>
      </c>
      <c r="C250" s="10" t="inlineStr">
        <is>
          <t>P112</t>
        </is>
      </c>
      <c r="D250" s="10" t="inlineStr">
        <is>
          <t>USB-C Multiport Hub</t>
        </is>
      </c>
      <c r="E250" s="10" t="inlineStr">
        <is>
          <t>Accessories</t>
        </is>
      </c>
      <c r="F250" s="10" t="inlineStr">
        <is>
          <t>Central</t>
        </is>
      </c>
      <c r="G250" s="10" t="n">
        <v>2</v>
      </c>
      <c r="H250" s="10" t="n">
        <v>1999</v>
      </c>
      <c r="I250" s="10" t="n">
        <v>1150</v>
      </c>
    </row>
    <row r="251">
      <c r="A251" s="10" t="inlineStr">
        <is>
          <t>ORD-2024228</t>
        </is>
      </c>
      <c r="B251" s="10" t="inlineStr">
        <is>
          <t>2024-10-27</t>
        </is>
      </c>
      <c r="C251" s="10" t="inlineStr">
        <is>
          <t>P105</t>
        </is>
      </c>
      <c r="D251" s="10" t="inlineStr">
        <is>
          <t>Ergonomic Office Chair</t>
        </is>
      </c>
      <c r="E251" s="10" t="inlineStr">
        <is>
          <t>Furniture</t>
        </is>
      </c>
      <c r="F251" s="10" t="inlineStr">
        <is>
          <t>East</t>
        </is>
      </c>
      <c r="G251" s="10" t="n">
        <v>4</v>
      </c>
      <c r="H251" s="10" t="n">
        <v>9999</v>
      </c>
      <c r="I251" s="10" t="n">
        <v>6800</v>
      </c>
    </row>
    <row r="252">
      <c r="A252" s="10" t="inlineStr">
        <is>
          <t>ORD-2024280</t>
        </is>
      </c>
      <c r="B252" s="10" t="inlineStr">
        <is>
          <t>2024-10-11</t>
        </is>
      </c>
      <c r="C252" s="10" t="inlineStr">
        <is>
          <t>P101</t>
        </is>
      </c>
      <c r="D252" s="10" t="inlineStr">
        <is>
          <t>Laptop Pro 15</t>
        </is>
      </c>
      <c r="E252" s="10" t="inlineStr">
        <is>
          <t>Electronics</t>
        </is>
      </c>
      <c r="F252" s="10" t="inlineStr">
        <is>
          <t>East</t>
        </is>
      </c>
      <c r="G252" s="10" t="n">
        <v>3</v>
      </c>
      <c r="H252" s="10" t="n">
        <v>55000</v>
      </c>
      <c r="I252" s="10" t="n">
        <v>45000</v>
      </c>
    </row>
    <row r="253">
      <c r="A253" s="10" t="inlineStr">
        <is>
          <t>ORD-2024202</t>
        </is>
      </c>
      <c r="B253" s="10" t="inlineStr">
        <is>
          <t>2024-08-29</t>
        </is>
      </c>
      <c r="C253" s="10" t="inlineStr">
        <is>
          <t>P104</t>
        </is>
      </c>
      <c r="D253" s="10" t="inlineStr">
        <is>
          <t>Noise-Cancelling Headphones</t>
        </is>
      </c>
      <c r="E253" s="10" t="inlineStr">
        <is>
          <t>Electronics</t>
        </is>
      </c>
      <c r="F253" s="10" t="inlineStr">
        <is>
          <t>South</t>
        </is>
      </c>
      <c r="G253" s="10" t="n">
        <v>2</v>
      </c>
      <c r="H253" s="10" t="n">
        <v>5699.05</v>
      </c>
      <c r="I253" s="10" t="n">
        <v>3600</v>
      </c>
    </row>
    <row r="254">
      <c r="A254" s="10" t="inlineStr">
        <is>
          <t>ORD-2024162</t>
        </is>
      </c>
      <c r="B254" s="10" t="inlineStr">
        <is>
          <t>2024-05-31</t>
        </is>
      </c>
      <c r="C254" s="10" t="inlineStr">
        <is>
          <t>P104</t>
        </is>
      </c>
      <c r="D254" s="10" t="inlineStr">
        <is>
          <t>Noise-Cancelling Headphones</t>
        </is>
      </c>
      <c r="E254" s="10" t="inlineStr">
        <is>
          <t>Electronics</t>
        </is>
      </c>
      <c r="F254" s="10" t="inlineStr">
        <is>
          <t>South</t>
        </is>
      </c>
      <c r="G254" s="10" t="n">
        <v>3</v>
      </c>
      <c r="H254" s="10" t="n">
        <v>5999</v>
      </c>
      <c r="I254" s="10" t="n">
        <v>3600</v>
      </c>
    </row>
    <row r="255">
      <c r="A255" s="10" t="inlineStr">
        <is>
          <t>ORD-2024044</t>
        </is>
      </c>
      <c r="B255" s="10" t="inlineStr">
        <is>
          <t>2024-08-30</t>
        </is>
      </c>
      <c r="C255" s="10" t="inlineStr">
        <is>
          <t>P104</t>
        </is>
      </c>
      <c r="D255" s="10" t="inlineStr">
        <is>
          <t>Noise-Cancelling Headphones</t>
        </is>
      </c>
      <c r="E255" s="10" t="inlineStr">
        <is>
          <t>Electronics</t>
        </is>
      </c>
      <c r="F255" s="10" t="inlineStr">
        <is>
          <t>West</t>
        </is>
      </c>
      <c r="G255" s="10" t="n">
        <v>4</v>
      </c>
      <c r="H255" s="10" t="n">
        <v>5999</v>
      </c>
      <c r="I255" s="10" t="n">
        <v>3600</v>
      </c>
    </row>
    <row r="256">
      <c r="A256" s="10" t="inlineStr">
        <is>
          <t>ORD-2024218</t>
        </is>
      </c>
      <c r="B256" s="10" t="inlineStr">
        <is>
          <t>2024-01-19</t>
        </is>
      </c>
      <c r="C256" s="10" t="inlineStr">
        <is>
          <t>P110</t>
        </is>
      </c>
      <c r="D256" s="10" t="inlineStr">
        <is>
          <t>A4 Copier Paper (500s)</t>
        </is>
      </c>
      <c r="E256" s="10" t="inlineStr">
        <is>
          <t>Office Supplies</t>
        </is>
      </c>
      <c r="F256" s="10" t="inlineStr">
        <is>
          <t>North</t>
        </is>
      </c>
      <c r="G256" s="10" t="n">
        <v>11</v>
      </c>
      <c r="H256" s="10" t="n">
        <v>320</v>
      </c>
      <c r="I256" s="10" t="n">
        <v>190</v>
      </c>
    </row>
    <row r="257">
      <c r="A257" s="10" t="inlineStr">
        <is>
          <t>ORD-2024146</t>
        </is>
      </c>
      <c r="B257" s="10" t="inlineStr">
        <is>
          <t>2024-10-02</t>
        </is>
      </c>
      <c r="C257" s="10" t="inlineStr">
        <is>
          <t>P113</t>
        </is>
      </c>
      <c r="D257" s="10" t="inlineStr">
        <is>
          <t>Laptop Backpack</t>
        </is>
      </c>
      <c r="E257" s="10" t="inlineStr">
        <is>
          <t>Accessories</t>
        </is>
      </c>
      <c r="F257" s="10" t="inlineStr">
        <is>
          <t>South</t>
        </is>
      </c>
      <c r="G257" s="10" t="n">
        <v>7</v>
      </c>
      <c r="H257" s="10" t="n">
        <v>1567.02</v>
      </c>
      <c r="I257" s="10" t="n">
        <v>820</v>
      </c>
    </row>
    <row r="258">
      <c r="A258" s="10" t="inlineStr">
        <is>
          <t>ORD-2024191</t>
        </is>
      </c>
      <c r="B258" s="10" t="inlineStr">
        <is>
          <t>2024-06-17</t>
        </is>
      </c>
      <c r="C258" s="10" t="inlineStr">
        <is>
          <t>P107</t>
        </is>
      </c>
      <c r="D258" s="10" t="inlineStr">
        <is>
          <t>Bookshelf Cabinet</t>
        </is>
      </c>
      <c r="E258" s="10" t="inlineStr">
        <is>
          <t>Furniture</t>
        </is>
      </c>
      <c r="F258" s="10" t="inlineStr">
        <is>
          <t>East</t>
        </is>
      </c>
      <c r="G258" s="10" t="n">
        <v>3</v>
      </c>
      <c r="H258" s="10" t="n">
        <v>5652.5</v>
      </c>
      <c r="I258" s="10" t="n">
        <v>4100</v>
      </c>
    </row>
    <row r="259">
      <c r="A259" s="10" t="inlineStr">
        <is>
          <t>ORD-2024106</t>
        </is>
      </c>
      <c r="B259" s="10" t="inlineStr">
        <is>
          <t>2024-03-16</t>
        </is>
      </c>
      <c r="C259" s="10" t="inlineStr">
        <is>
          <t>P101</t>
        </is>
      </c>
      <c r="D259" s="10" t="inlineStr">
        <is>
          <t>Laptop Pro 15</t>
        </is>
      </c>
      <c r="E259" s="10" t="inlineStr">
        <is>
          <t>Electronics</t>
        </is>
      </c>
      <c r="F259" s="10" t="inlineStr">
        <is>
          <t>North</t>
        </is>
      </c>
      <c r="G259" s="10" t="n">
        <v>4</v>
      </c>
      <c r="H259" s="10" t="n">
        <v>53900</v>
      </c>
      <c r="I259" s="10" t="n">
        <v>45000</v>
      </c>
    </row>
    <row r="260">
      <c r="A260" s="10" t="inlineStr">
        <is>
          <t>ORD-2024054</t>
        </is>
      </c>
      <c r="B260" s="10" t="inlineStr">
        <is>
          <t>2024-12-22</t>
        </is>
      </c>
      <c r="C260" s="10" t="inlineStr">
        <is>
          <t>P112</t>
        </is>
      </c>
      <c r="D260" s="10" t="inlineStr">
        <is>
          <t>USB-C Multiport Hub</t>
        </is>
      </c>
      <c r="E260" s="10" t="inlineStr">
        <is>
          <t>Accessories</t>
        </is>
      </c>
      <c r="F260" s="10" t="inlineStr">
        <is>
          <t>Central</t>
        </is>
      </c>
      <c r="G260" s="10" t="n">
        <v>9</v>
      </c>
      <c r="H260" s="10" t="n">
        <v>1899.05</v>
      </c>
      <c r="I260" s="10" t="n">
        <v>1150</v>
      </c>
    </row>
    <row r="261">
      <c r="A261" s="10" t="inlineStr">
        <is>
          <t>ORD-2024002</t>
        </is>
      </c>
      <c r="B261" s="10" t="inlineStr">
        <is>
          <t>2024-04-24</t>
        </is>
      </c>
      <c r="C261" s="10" t="inlineStr">
        <is>
          <t>P103</t>
        </is>
      </c>
      <c r="D261" s="10" t="inlineStr">
        <is>
          <t>Mechanical Keyboard</t>
        </is>
      </c>
      <c r="E261" s="10" t="inlineStr">
        <is>
          <t>Electronics</t>
        </is>
      </c>
      <c r="F261" s="10" t="inlineStr">
        <is>
          <t>West</t>
        </is>
      </c>
      <c r="G261" s="10" t="n">
        <v>1</v>
      </c>
      <c r="H261" s="10" t="n">
        <v>2744</v>
      </c>
      <c r="I261" s="10" t="n">
        <v>1850</v>
      </c>
    </row>
    <row r="262">
      <c r="A262" s="10" t="inlineStr">
        <is>
          <t>ORD-2024050</t>
        </is>
      </c>
      <c r="B262" s="10" t="inlineStr">
        <is>
          <t>2024-10-08</t>
        </is>
      </c>
      <c r="C262" s="10" t="inlineStr">
        <is>
          <t>P102</t>
        </is>
      </c>
      <c r="D262" s="10" t="inlineStr">
        <is>
          <t>Wireless Mouse</t>
        </is>
      </c>
      <c r="E262" s="10" t="inlineStr">
        <is>
          <t>Electronics</t>
        </is>
      </c>
      <c r="F262" s="10" t="inlineStr">
        <is>
          <t>North</t>
        </is>
      </c>
      <c r="G262" s="10" t="n">
        <v>1</v>
      </c>
      <c r="H262" s="10" t="n">
        <v>750</v>
      </c>
      <c r="I262" s="10" t="n">
        <v>420</v>
      </c>
    </row>
    <row r="263">
      <c r="A263" s="10" t="inlineStr">
        <is>
          <t>ORD-2024081</t>
        </is>
      </c>
      <c r="B263" s="10" t="inlineStr">
        <is>
          <t>2024-10-13</t>
        </is>
      </c>
      <c r="C263" s="10" t="inlineStr">
        <is>
          <t>P114</t>
        </is>
      </c>
      <c r="D263" s="10" t="inlineStr">
        <is>
          <t>Webcam 1080p HD</t>
        </is>
      </c>
      <c r="E263" s="10" t="inlineStr">
        <is>
          <t>Accessories</t>
        </is>
      </c>
      <c r="F263" s="10" t="inlineStr">
        <is>
          <t>South</t>
        </is>
      </c>
      <c r="G263" s="10" t="n">
        <v>10</v>
      </c>
      <c r="H263" s="10" t="n">
        <v>2450</v>
      </c>
      <c r="I263" s="10" t="n">
        <v>1450</v>
      </c>
    </row>
    <row r="264">
      <c r="A264" s="10" t="inlineStr">
        <is>
          <t>ORD-2024206</t>
        </is>
      </c>
      <c r="B264" s="10" t="inlineStr">
        <is>
          <t>2024-10-27</t>
        </is>
      </c>
      <c r="C264" s="10" t="inlineStr">
        <is>
          <t>P110</t>
        </is>
      </c>
      <c r="D264" s="10" t="inlineStr">
        <is>
          <t>A4 Copier Paper (500s)</t>
        </is>
      </c>
      <c r="E264" s="10" t="inlineStr">
        <is>
          <t>Office Supplies</t>
        </is>
      </c>
      <c r="F264" s="10" t="inlineStr">
        <is>
          <t>Central</t>
        </is>
      </c>
      <c r="G264" s="10" t="n">
        <v>8</v>
      </c>
      <c r="H264" s="10" t="n">
        <v>320</v>
      </c>
      <c r="I264" s="10" t="n">
        <v>190</v>
      </c>
    </row>
    <row r="265">
      <c r="A265" s="10" t="inlineStr">
        <is>
          <t>ORD-2024035</t>
        </is>
      </c>
      <c r="B265" s="10" t="inlineStr">
        <is>
          <t>2024-12-03</t>
        </is>
      </c>
      <c r="C265" s="10" t="inlineStr">
        <is>
          <t>P108</t>
        </is>
      </c>
      <c r="D265" s="10" t="inlineStr">
        <is>
          <t>Executive Desk Lamp</t>
        </is>
      </c>
      <c r="E265" s="10" t="inlineStr">
        <is>
          <t>Furniture</t>
        </is>
      </c>
      <c r="F265" s="10" t="inlineStr">
        <is>
          <t>Central</t>
        </is>
      </c>
      <c r="G265" s="10" t="n">
        <v>3</v>
      </c>
      <c r="H265" s="10" t="n">
        <v>1499</v>
      </c>
      <c r="I265" s="10" t="n">
        <v>850</v>
      </c>
    </row>
    <row r="266">
      <c r="A266" s="10" t="inlineStr">
        <is>
          <t>ORD-2024264</t>
        </is>
      </c>
      <c r="B266" s="10" t="inlineStr">
        <is>
          <t>2024-06-14</t>
        </is>
      </c>
      <c r="C266" s="10" t="inlineStr">
        <is>
          <t>P101</t>
        </is>
      </c>
      <c r="D266" s="10" t="inlineStr">
        <is>
          <t>Laptop Pro 15</t>
        </is>
      </c>
      <c r="E266" s="10" t="inlineStr">
        <is>
          <t>Electronics</t>
        </is>
      </c>
      <c r="F266" s="10" t="inlineStr">
        <is>
          <t>North</t>
        </is>
      </c>
      <c r="G266" s="10" t="n">
        <v>1</v>
      </c>
      <c r="H266" s="10" t="n">
        <v>55000</v>
      </c>
      <c r="I266" s="10" t="n">
        <v>45000</v>
      </c>
    </row>
    <row r="267">
      <c r="A267" s="10" t="inlineStr">
        <is>
          <t>ORD-2024092</t>
        </is>
      </c>
      <c r="B267" s="10" t="inlineStr">
        <is>
          <t>2024-10-24</t>
        </is>
      </c>
      <c r="C267" s="10" t="inlineStr">
        <is>
          <t>P105</t>
        </is>
      </c>
      <c r="D267" s="10" t="inlineStr">
        <is>
          <t>Ergonomic Office Chair</t>
        </is>
      </c>
      <c r="E267" s="10" t="inlineStr">
        <is>
          <t>Furniture</t>
        </is>
      </c>
      <c r="F267" s="10" t="inlineStr">
        <is>
          <t>North</t>
        </is>
      </c>
      <c r="G267" s="10" t="n">
        <v>4</v>
      </c>
      <c r="H267" s="10" t="n">
        <v>9999</v>
      </c>
      <c r="I267" s="10" t="n">
        <v>6800</v>
      </c>
    </row>
    <row r="268">
      <c r="A268" s="10" t="inlineStr">
        <is>
          <t>ORD-2024053</t>
        </is>
      </c>
      <c r="B268" s="10" t="inlineStr">
        <is>
          <t>2024-05-15</t>
        </is>
      </c>
      <c r="C268" s="10" t="inlineStr">
        <is>
          <t>P113</t>
        </is>
      </c>
      <c r="D268" s="10" t="inlineStr">
        <is>
          <t>Laptop Backpack</t>
        </is>
      </c>
      <c r="E268" s="10" t="inlineStr">
        <is>
          <t>Accessories</t>
        </is>
      </c>
      <c r="F268" s="10" t="inlineStr">
        <is>
          <t>West</t>
        </is>
      </c>
      <c r="G268" s="10" t="n">
        <v>5</v>
      </c>
      <c r="H268" s="10" t="n">
        <v>1519.05</v>
      </c>
      <c r="I268" s="10" t="n">
        <v>820</v>
      </c>
    </row>
    <row r="269">
      <c r="A269" s="10" t="inlineStr">
        <is>
          <t>ORD-2024265</t>
        </is>
      </c>
      <c r="B269" s="10" t="inlineStr">
        <is>
          <t>2024-08-03</t>
        </is>
      </c>
      <c r="C269" s="10" t="inlineStr">
        <is>
          <t>P109</t>
        </is>
      </c>
      <c r="D269" s="10" t="inlineStr">
        <is>
          <t>Gel Pen Pack (10x)</t>
        </is>
      </c>
      <c r="E269" s="10" t="inlineStr">
        <is>
          <t>Office Supplies</t>
        </is>
      </c>
      <c r="F269" s="10" t="inlineStr">
        <is>
          <t>North</t>
        </is>
      </c>
      <c r="G269" s="10" t="n">
        <v>2</v>
      </c>
      <c r="H269" s="10" t="n">
        <v>228</v>
      </c>
      <c r="I269" s="10" t="n">
        <v>110</v>
      </c>
    </row>
    <row r="270">
      <c r="A270" s="10" t="inlineStr">
        <is>
          <t>ORD-2024242</t>
        </is>
      </c>
      <c r="B270" s="10" t="inlineStr">
        <is>
          <t>2024-08-27</t>
        </is>
      </c>
      <c r="C270" s="10" t="inlineStr">
        <is>
          <t>P102</t>
        </is>
      </c>
      <c r="D270" s="10" t="inlineStr">
        <is>
          <t>Wireless Mouse</t>
        </is>
      </c>
      <c r="E270" s="10" t="inlineStr">
        <is>
          <t>Electronics</t>
        </is>
      </c>
      <c r="F270" s="10" t="inlineStr">
        <is>
          <t>North</t>
        </is>
      </c>
      <c r="G270" s="10" t="n">
        <v>4</v>
      </c>
      <c r="H270" s="10" t="n">
        <v>712.5</v>
      </c>
      <c r="I270" s="10" t="n">
        <v>420</v>
      </c>
    </row>
    <row r="271">
      <c r="A271" s="10" t="inlineStr">
        <is>
          <t>ORD-2024014</t>
        </is>
      </c>
      <c r="B271" s="10" t="inlineStr">
        <is>
          <t>2024-07-08</t>
        </is>
      </c>
      <c r="C271" s="10" t="inlineStr">
        <is>
          <t>P106</t>
        </is>
      </c>
      <c r="D271" s="10" t="inlineStr">
        <is>
          <t>Standing Desk</t>
        </is>
      </c>
      <c r="E271" s="10" t="inlineStr">
        <is>
          <t>Furniture</t>
        </is>
      </c>
      <c r="F271" s="10" t="inlineStr">
        <is>
          <t>North</t>
        </is>
      </c>
      <c r="G271" s="10" t="n">
        <v>3</v>
      </c>
      <c r="H271" s="10" t="n">
        <v>18500</v>
      </c>
      <c r="I271" s="10" t="n">
        <v>12500</v>
      </c>
    </row>
    <row r="272">
      <c r="A272" s="10" t="inlineStr">
        <is>
          <t>ORD-2024089</t>
        </is>
      </c>
      <c r="B272" s="10" t="inlineStr">
        <is>
          <t>2024-02-05</t>
        </is>
      </c>
      <c r="C272" s="10" t="inlineStr">
        <is>
          <t>P113</t>
        </is>
      </c>
      <c r="D272" s="10" t="inlineStr">
        <is>
          <t>Laptop Backpack</t>
        </is>
      </c>
      <c r="E272" s="10" t="inlineStr">
        <is>
          <t>Accessories</t>
        </is>
      </c>
      <c r="F272" s="10" t="inlineStr">
        <is>
          <t>North</t>
        </is>
      </c>
      <c r="G272" s="10" t="n">
        <v>11</v>
      </c>
      <c r="H272" s="10" t="n">
        <v>1567.02</v>
      </c>
      <c r="I272" s="10" t="n">
        <v>820</v>
      </c>
    </row>
    <row r="273">
      <c r="A273" s="10" t="inlineStr">
        <is>
          <t>ORD-2024167</t>
        </is>
      </c>
      <c r="B273" s="10" t="inlineStr">
        <is>
          <t>2024-09-01</t>
        </is>
      </c>
      <c r="C273" s="10" t="inlineStr">
        <is>
          <t>P102</t>
        </is>
      </c>
      <c r="D273" s="10" t="inlineStr">
        <is>
          <t>Wireless Mouse</t>
        </is>
      </c>
      <c r="E273" s="10" t="inlineStr">
        <is>
          <t>Electronics</t>
        </is>
      </c>
      <c r="F273" s="10" t="inlineStr">
        <is>
          <t>West</t>
        </is>
      </c>
      <c r="G273" s="10" t="n">
        <v>7</v>
      </c>
      <c r="H273" s="10" t="n">
        <v>712.5</v>
      </c>
      <c r="I273" s="10" t="n">
        <v>420</v>
      </c>
    </row>
    <row r="274">
      <c r="A274" s="10" t="inlineStr">
        <is>
          <t>ORD-2024013</t>
        </is>
      </c>
      <c r="B274" s="10" t="inlineStr">
        <is>
          <t>2024-02-21</t>
        </is>
      </c>
      <c r="C274" s="10" t="inlineStr">
        <is>
          <t>P107</t>
        </is>
      </c>
      <c r="D274" s="10" t="inlineStr">
        <is>
          <t>Bookshelf Cabinet</t>
        </is>
      </c>
      <c r="E274" s="10" t="inlineStr">
        <is>
          <t>Furniture</t>
        </is>
      </c>
      <c r="F274" s="10" t="inlineStr">
        <is>
          <t>North</t>
        </is>
      </c>
      <c r="G274" s="10" t="n">
        <v>3</v>
      </c>
      <c r="H274" s="10" t="n">
        <v>5950</v>
      </c>
      <c r="I274" s="10" t="n">
        <v>4100</v>
      </c>
    </row>
    <row r="275">
      <c r="A275" s="10" t="inlineStr">
        <is>
          <t>ORD-2024135</t>
        </is>
      </c>
      <c r="B275" s="10" t="inlineStr">
        <is>
          <t>2024-04-21</t>
        </is>
      </c>
      <c r="C275" s="10" t="inlineStr">
        <is>
          <t>P108</t>
        </is>
      </c>
      <c r="D275" s="10" t="inlineStr">
        <is>
          <t>Executive Desk Lamp</t>
        </is>
      </c>
      <c r="E275" s="10" t="inlineStr">
        <is>
          <t>Furniture</t>
        </is>
      </c>
      <c r="F275" s="10" t="inlineStr">
        <is>
          <t>East</t>
        </is>
      </c>
      <c r="G275" s="10" t="n">
        <v>6</v>
      </c>
      <c r="H275" s="10" t="n">
        <v>1499</v>
      </c>
      <c r="I275" s="10" t="n">
        <v>850</v>
      </c>
    </row>
    <row r="276">
      <c r="A276" s="10" t="inlineStr">
        <is>
          <t>ORD-2024294</t>
        </is>
      </c>
      <c r="B276" s="10" t="inlineStr">
        <is>
          <t>2024-11-12</t>
        </is>
      </c>
      <c r="C276" s="10" t="inlineStr">
        <is>
          <t>P101</t>
        </is>
      </c>
      <c r="D276" s="10" t="inlineStr">
        <is>
          <t>Laptop Pro 15</t>
        </is>
      </c>
      <c r="E276" s="10" t="inlineStr">
        <is>
          <t>Electronics</t>
        </is>
      </c>
      <c r="F276" s="10" t="inlineStr">
        <is>
          <t>East</t>
        </is>
      </c>
      <c r="G276" s="10" t="n">
        <v>3</v>
      </c>
      <c r="H276" s="10" t="n">
        <v>52250</v>
      </c>
      <c r="I276" s="10" t="n">
        <v>45000</v>
      </c>
    </row>
    <row r="277">
      <c r="A277" s="10" t="inlineStr">
        <is>
          <t>ORD-2024244</t>
        </is>
      </c>
      <c r="B277" s="10" t="inlineStr">
        <is>
          <t>2024-05-15</t>
        </is>
      </c>
      <c r="C277" s="10" t="inlineStr">
        <is>
          <t>P109</t>
        </is>
      </c>
      <c r="D277" s="10" t="inlineStr">
        <is>
          <t>Gel Pen Pack (10x)</t>
        </is>
      </c>
      <c r="E277" s="10" t="inlineStr">
        <is>
          <t>Office Supplies</t>
        </is>
      </c>
      <c r="F277" s="10" t="inlineStr">
        <is>
          <t>North</t>
        </is>
      </c>
      <c r="G277" s="10" t="n">
        <v>6</v>
      </c>
      <c r="H277" s="10" t="n">
        <v>240</v>
      </c>
      <c r="I277" s="10" t="n">
        <v>110</v>
      </c>
    </row>
    <row r="278">
      <c r="A278" s="10" t="inlineStr">
        <is>
          <t>ORD-2024055</t>
        </is>
      </c>
      <c r="B278" s="10" t="inlineStr">
        <is>
          <t>2024-03-20</t>
        </is>
      </c>
      <c r="C278" s="10" t="inlineStr">
        <is>
          <t>P104</t>
        </is>
      </c>
      <c r="D278" s="10" t="inlineStr">
        <is>
          <t>Noise-Cancelling Headphones</t>
        </is>
      </c>
      <c r="E278" s="10" t="inlineStr">
        <is>
          <t>Electronics</t>
        </is>
      </c>
      <c r="F278" s="10" t="inlineStr">
        <is>
          <t>South</t>
        </is>
      </c>
      <c r="G278" s="10" t="n">
        <v>1</v>
      </c>
      <c r="H278" s="10" t="n">
        <v>5879.02</v>
      </c>
      <c r="I278" s="10" t="n">
        <v>3600</v>
      </c>
    </row>
    <row r="279">
      <c r="A279" s="10" t="inlineStr">
        <is>
          <t>ORD-2024051</t>
        </is>
      </c>
      <c r="B279" s="10" t="inlineStr">
        <is>
          <t>2024-05-01</t>
        </is>
      </c>
      <c r="C279" s="10" t="inlineStr">
        <is>
          <t>P103</t>
        </is>
      </c>
      <c r="D279" s="10" t="inlineStr">
        <is>
          <t>Mechanical Keyboard</t>
        </is>
      </c>
      <c r="E279" s="10" t="inlineStr">
        <is>
          <t>Electronics</t>
        </is>
      </c>
      <c r="F279" s="10" t="inlineStr">
        <is>
          <t>South</t>
        </is>
      </c>
      <c r="G279" s="10" t="n">
        <v>4</v>
      </c>
      <c r="H279" s="10" t="n">
        <v>2800</v>
      </c>
      <c r="I279" s="10" t="n">
        <v>1850</v>
      </c>
    </row>
    <row r="280">
      <c r="A280" s="10" t="inlineStr">
        <is>
          <t>ORD-2024175</t>
        </is>
      </c>
      <c r="B280" s="10" t="inlineStr">
        <is>
          <t>2024-12-04</t>
        </is>
      </c>
      <c r="C280" s="10" t="inlineStr">
        <is>
          <t>P102</t>
        </is>
      </c>
      <c r="D280" s="10" t="inlineStr">
        <is>
          <t>Wireless Mouse</t>
        </is>
      </c>
      <c r="E280" s="10" t="inlineStr">
        <is>
          <t>Electronics</t>
        </is>
      </c>
      <c r="F280" s="10" t="inlineStr">
        <is>
          <t>North</t>
        </is>
      </c>
      <c r="G280" s="10" t="n">
        <v>3</v>
      </c>
      <c r="H280" s="10" t="n">
        <v>735</v>
      </c>
      <c r="I280" s="10" t="n">
        <v>420</v>
      </c>
    </row>
    <row r="281">
      <c r="A281" s="10" t="inlineStr">
        <is>
          <t>ORD-2024190</t>
        </is>
      </c>
      <c r="B281" s="10" t="inlineStr">
        <is>
          <t>2024-06-27</t>
        </is>
      </c>
      <c r="C281" s="10" t="inlineStr">
        <is>
          <t>P107</t>
        </is>
      </c>
      <c r="D281" s="10" t="inlineStr">
        <is>
          <t>Bookshelf Cabinet</t>
        </is>
      </c>
      <c r="E281" s="10" t="inlineStr">
        <is>
          <t>Furniture</t>
        </is>
      </c>
      <c r="F281" s="10" t="inlineStr">
        <is>
          <t>South</t>
        </is>
      </c>
      <c r="G281" s="10" t="n">
        <v>1</v>
      </c>
      <c r="H281" s="10" t="n">
        <v>5950</v>
      </c>
      <c r="I281" s="10" t="n">
        <v>4100</v>
      </c>
    </row>
    <row r="282">
      <c r="A282" s="10" t="inlineStr">
        <is>
          <t>ORD-2024993</t>
        </is>
      </c>
      <c r="B282" s="10" t="inlineStr">
        <is>
          <t>2024-02-08</t>
        </is>
      </c>
      <c r="C282" s="10" t="inlineStr">
        <is>
          <t>P103</t>
        </is>
      </c>
      <c r="D282" s="10" t="inlineStr">
        <is>
          <t>Mechanical Keyboard</t>
        </is>
      </c>
      <c r="E282" s="10" t="inlineStr">
        <is>
          <t>Electronics</t>
        </is>
      </c>
      <c r="F282" s="10" t="inlineStr">
        <is>
          <t>North</t>
        </is>
      </c>
      <c r="G282" s="10" t="n">
        <v>-5</v>
      </c>
      <c r="H282" s="10" t="n">
        <v>2744</v>
      </c>
      <c r="I282" s="10" t="n">
        <v>1850</v>
      </c>
    </row>
    <row r="283">
      <c r="A283" s="10" t="inlineStr">
        <is>
          <t>ORD-2024188</t>
        </is>
      </c>
      <c r="B283" s="10" t="inlineStr">
        <is>
          <t>2024-11-29</t>
        </is>
      </c>
      <c r="C283" s="10" t="inlineStr">
        <is>
          <t>P108</t>
        </is>
      </c>
      <c r="D283" s="10" t="inlineStr">
        <is>
          <t>Executive Desk Lamp</t>
        </is>
      </c>
      <c r="E283" s="10" t="inlineStr">
        <is>
          <t>Furniture</t>
        </is>
      </c>
      <c r="F283" s="10" t="inlineStr">
        <is>
          <t>Central</t>
        </is>
      </c>
      <c r="G283" s="10" t="n">
        <v>3</v>
      </c>
      <c r="H283" s="10" t="n">
        <v>1469.02</v>
      </c>
      <c r="I283" s="10" t="n">
        <v>850</v>
      </c>
    </row>
    <row r="284">
      <c r="A284" s="10" t="inlineStr">
        <is>
          <t>ORD-2024170</t>
        </is>
      </c>
      <c r="B284" s="10" t="inlineStr">
        <is>
          <t>2024-05-07</t>
        </is>
      </c>
      <c r="C284" s="10" t="inlineStr">
        <is>
          <t>P102</t>
        </is>
      </c>
      <c r="D284" s="10" t="inlineStr">
        <is>
          <t>Wireless Mouse</t>
        </is>
      </c>
      <c r="E284" s="10" t="inlineStr">
        <is>
          <t>Electronics</t>
        </is>
      </c>
      <c r="F284" s="10" t="inlineStr">
        <is>
          <t>East</t>
        </is>
      </c>
      <c r="G284" s="10" t="n">
        <v>7</v>
      </c>
      <c r="H284" s="10" t="n">
        <v>735</v>
      </c>
      <c r="I284" s="10" t="n">
        <v>420</v>
      </c>
    </row>
    <row r="285">
      <c r="A285" s="10" t="inlineStr">
        <is>
          <t>ORD-2024059</t>
        </is>
      </c>
      <c r="B285" s="10" t="inlineStr">
        <is>
          <t>2024-02-04</t>
        </is>
      </c>
      <c r="C285" s="10" t="inlineStr">
        <is>
          <t>P111</t>
        </is>
      </c>
      <c r="D285" s="10" t="inlineStr">
        <is>
          <t>Desk Organizer Tray</t>
        </is>
      </c>
      <c r="E285" s="10" t="inlineStr">
        <is>
          <t>Office Supplies</t>
        </is>
      </c>
      <c r="F285" s="10" t="inlineStr">
        <is>
          <t>West</t>
        </is>
      </c>
      <c r="G285" s="10" t="n">
        <v>7</v>
      </c>
      <c r="H285" s="10" t="n">
        <v>480</v>
      </c>
      <c r="I285" s="10" t="n">
        <v>260</v>
      </c>
    </row>
    <row r="286">
      <c r="A286" s="10" t="inlineStr">
        <is>
          <t>ORD-2024049</t>
        </is>
      </c>
      <c r="B286" s="10" t="inlineStr">
        <is>
          <t>2024-04-03</t>
        </is>
      </c>
      <c r="C286" s="10" t="inlineStr">
        <is>
          <t>P105</t>
        </is>
      </c>
      <c r="D286" s="10" t="inlineStr">
        <is>
          <t>Ergonomic Office Chair</t>
        </is>
      </c>
      <c r="E286" s="10" t="inlineStr">
        <is>
          <t>Furniture</t>
        </is>
      </c>
      <c r="F286" s="10" t="inlineStr">
        <is>
          <t>South</t>
        </is>
      </c>
      <c r="G286" s="10" t="n">
        <v>1</v>
      </c>
      <c r="H286" s="10" t="n">
        <v>9499.049999999999</v>
      </c>
      <c r="I286" s="10" t="n">
        <v>6800</v>
      </c>
    </row>
    <row r="287">
      <c r="A287" s="10" t="inlineStr">
        <is>
          <t>ORD-2024236</t>
        </is>
      </c>
      <c r="B287" s="10" t="inlineStr">
        <is>
          <t>2024-11-17</t>
        </is>
      </c>
      <c r="C287" s="10" t="inlineStr">
        <is>
          <t>P111</t>
        </is>
      </c>
      <c r="D287" s="10" t="inlineStr">
        <is>
          <t>Desk Organizer Tray</t>
        </is>
      </c>
      <c r="E287" s="10" t="inlineStr">
        <is>
          <t>Office Supplies</t>
        </is>
      </c>
      <c r="F287" s="10" t="inlineStr">
        <is>
          <t>North</t>
        </is>
      </c>
      <c r="G287" s="10" t="n">
        <v>13</v>
      </c>
      <c r="H287" s="10" t="n">
        <v>456</v>
      </c>
      <c r="I287" s="10" t="n">
        <v>260</v>
      </c>
    </row>
    <row r="288">
      <c r="A288" s="10" t="inlineStr">
        <is>
          <t>ORD-2024253</t>
        </is>
      </c>
      <c r="B288" s="10" t="inlineStr">
        <is>
          <t>2024-07-27</t>
        </is>
      </c>
      <c r="C288" s="10" t="inlineStr">
        <is>
          <t>P105</t>
        </is>
      </c>
      <c r="D288" s="10" t="inlineStr">
        <is>
          <t>Ergonomic Office Chair</t>
        </is>
      </c>
      <c r="E288" s="10" t="inlineStr">
        <is>
          <t>Furniture</t>
        </is>
      </c>
      <c r="F288" s="10" t="inlineStr">
        <is>
          <t>North</t>
        </is>
      </c>
      <c r="G288" s="10" t="n">
        <v>3</v>
      </c>
      <c r="H288" s="10" t="n">
        <v>9999</v>
      </c>
      <c r="I288" s="10" t="n">
        <v>6800</v>
      </c>
    </row>
    <row r="289">
      <c r="A289" s="10" t="inlineStr">
        <is>
          <t>ORD-2024022</t>
        </is>
      </c>
      <c r="B289" s="10" t="inlineStr">
        <is>
          <t>2024-09-17</t>
        </is>
      </c>
      <c r="C289" s="10" t="inlineStr">
        <is>
          <t>P108</t>
        </is>
      </c>
      <c r="D289" s="10" t="inlineStr">
        <is>
          <t>Executive Desk Lamp</t>
        </is>
      </c>
      <c r="E289" s="10" t="inlineStr">
        <is>
          <t>Furniture</t>
        </is>
      </c>
      <c r="F289" s="10" t="inlineStr">
        <is>
          <t>North</t>
        </is>
      </c>
      <c r="G289" s="10" t="n">
        <v>1</v>
      </c>
      <c r="H289" s="10" t="n">
        <v>1499</v>
      </c>
      <c r="I289" s="10" t="n">
        <v>850</v>
      </c>
    </row>
    <row r="290">
      <c r="A290" s="10" t="inlineStr">
        <is>
          <t>ORD-2024161</t>
        </is>
      </c>
      <c r="B290" s="10" t="inlineStr">
        <is>
          <t>2024-09-25</t>
        </is>
      </c>
      <c r="C290" s="10" t="inlineStr">
        <is>
          <t>P110</t>
        </is>
      </c>
      <c r="D290" s="10" t="inlineStr">
        <is>
          <t>A4 Copier Paper (500s)</t>
        </is>
      </c>
      <c r="E290" s="10" t="inlineStr">
        <is>
          <t>Office Supplies</t>
        </is>
      </c>
      <c r="F290" s="10" t="inlineStr">
        <is>
          <t>South</t>
        </is>
      </c>
      <c r="G290" s="10" t="n">
        <v>2</v>
      </c>
      <c r="H290" s="10" t="n">
        <v>320</v>
      </c>
      <c r="I290" s="10" t="n">
        <v>190</v>
      </c>
    </row>
    <row r="291">
      <c r="A291" s="10" t="inlineStr">
        <is>
          <t>ORD-2024277</t>
        </is>
      </c>
      <c r="B291" s="10" t="inlineStr">
        <is>
          <t>2024-06-09</t>
        </is>
      </c>
      <c r="C291" s="10" t="inlineStr">
        <is>
          <t>P107</t>
        </is>
      </c>
      <c r="D291" s="10" t="inlineStr">
        <is>
          <t>Bookshelf Cabinet</t>
        </is>
      </c>
      <c r="E291" s="10" t="inlineStr">
        <is>
          <t>Furniture</t>
        </is>
      </c>
      <c r="F291" s="10" t="inlineStr">
        <is>
          <t>South</t>
        </is>
      </c>
      <c r="G291" s="10" t="n">
        <v>3</v>
      </c>
      <c r="H291" s="10" t="n">
        <v>5950</v>
      </c>
      <c r="I291" s="10" t="n">
        <v>4100</v>
      </c>
    </row>
    <row r="292">
      <c r="A292" s="10" t="inlineStr">
        <is>
          <t>ORD-2024192</t>
        </is>
      </c>
      <c r="B292" s="10" t="inlineStr">
        <is>
          <t>2024-10-08</t>
        </is>
      </c>
      <c r="C292" s="10" t="inlineStr">
        <is>
          <t>P101</t>
        </is>
      </c>
      <c r="D292" s="10" t="inlineStr">
        <is>
          <t>Laptop Pro 15</t>
        </is>
      </c>
      <c r="E292" s="10" t="inlineStr">
        <is>
          <t>Electronics</t>
        </is>
      </c>
      <c r="F292" s="10" t="inlineStr">
        <is>
          <t>South</t>
        </is>
      </c>
      <c r="G292" s="10" t="n">
        <v>3</v>
      </c>
      <c r="H292" s="10" t="n">
        <v>55000</v>
      </c>
      <c r="I292" s="10" t="n">
        <v>45000</v>
      </c>
    </row>
    <row r="293">
      <c r="A293" s="10" t="inlineStr">
        <is>
          <t>ORD-2024258</t>
        </is>
      </c>
      <c r="B293" s="10" t="inlineStr">
        <is>
          <t>2024-01-11</t>
        </is>
      </c>
      <c r="C293" s="10" t="inlineStr">
        <is>
          <t>P101</t>
        </is>
      </c>
      <c r="D293" s="10" t="inlineStr">
        <is>
          <t>Laptop Pro 15</t>
        </is>
      </c>
      <c r="E293" s="10" t="inlineStr">
        <is>
          <t>Electronics</t>
        </is>
      </c>
      <c r="F293" s="10" t="inlineStr">
        <is>
          <t>West</t>
        </is>
      </c>
      <c r="G293" s="10" t="n">
        <v>2</v>
      </c>
      <c r="H293" s="10" t="n">
        <v>55000</v>
      </c>
      <c r="I293" s="10" t="n">
        <v>45000</v>
      </c>
    </row>
    <row r="294">
      <c r="A294" s="10" t="inlineStr">
        <is>
          <t>ORD-2024150</t>
        </is>
      </c>
      <c r="B294" s="10" t="inlineStr">
        <is>
          <t>2024-04-18</t>
        </is>
      </c>
      <c r="C294" s="10" t="inlineStr">
        <is>
          <t>P106</t>
        </is>
      </c>
      <c r="D294" s="10" t="inlineStr">
        <is>
          <t>Standing Desk</t>
        </is>
      </c>
      <c r="E294" s="10" t="inlineStr">
        <is>
          <t>Furniture</t>
        </is>
      </c>
      <c r="F294" s="10" t="inlineStr">
        <is>
          <t>West</t>
        </is>
      </c>
      <c r="G294" s="10" t="n">
        <v>3</v>
      </c>
      <c r="H294" s="10" t="n">
        <v>18500</v>
      </c>
      <c r="I294" s="10" t="n">
        <v>12500</v>
      </c>
    </row>
    <row r="295">
      <c r="A295" s="10" t="inlineStr">
        <is>
          <t>ORD-2024131</t>
        </is>
      </c>
      <c r="B295" s="10" t="inlineStr">
        <is>
          <t>2024-02-11</t>
        </is>
      </c>
      <c r="C295" s="10" t="inlineStr">
        <is>
          <t>P108</t>
        </is>
      </c>
      <c r="D295" s="10" t="inlineStr">
        <is>
          <t>Executive Desk Lamp</t>
        </is>
      </c>
      <c r="E295" s="10" t="inlineStr">
        <is>
          <t>Furniture</t>
        </is>
      </c>
      <c r="F295" s="10" t="inlineStr">
        <is>
          <t>North</t>
        </is>
      </c>
      <c r="G295" s="10" t="n">
        <v>1</v>
      </c>
      <c r="H295" s="10" t="n">
        <v>1499</v>
      </c>
      <c r="I295" s="10" t="n">
        <v>850</v>
      </c>
    </row>
    <row r="296">
      <c r="A296" s="10" t="inlineStr">
        <is>
          <t>ORD-2024152</t>
        </is>
      </c>
      <c r="B296" s="10" t="inlineStr">
        <is>
          <t>2024-09-21</t>
        </is>
      </c>
      <c r="C296" s="10" t="inlineStr">
        <is>
          <t>P104</t>
        </is>
      </c>
      <c r="D296" s="10" t="inlineStr">
        <is>
          <t>Noise-Cancelling Headphones</t>
        </is>
      </c>
      <c r="E296" s="10" t="inlineStr">
        <is>
          <t>Electronics</t>
        </is>
      </c>
      <c r="F296" s="10" t="inlineStr">
        <is>
          <t>North</t>
        </is>
      </c>
      <c r="G296" s="10" t="n">
        <v>4</v>
      </c>
      <c r="H296" s="10" t="n">
        <v>5699.05</v>
      </c>
      <c r="I296" s="10" t="n">
        <v>3600</v>
      </c>
    </row>
    <row r="297">
      <c r="A297" s="10" t="inlineStr">
        <is>
          <t>ORD-2024100</t>
        </is>
      </c>
      <c r="B297" s="10" t="inlineStr">
        <is>
          <t>2024-12-06</t>
        </is>
      </c>
      <c r="C297" s="10" t="inlineStr">
        <is>
          <t>P107</t>
        </is>
      </c>
      <c r="D297" s="10" t="inlineStr">
        <is>
          <t>Bookshelf Cabinet</t>
        </is>
      </c>
      <c r="E297" s="10" t="inlineStr">
        <is>
          <t>Furniture</t>
        </is>
      </c>
      <c r="F297" s="10" t="inlineStr">
        <is>
          <t>East</t>
        </is>
      </c>
      <c r="G297" s="10" t="n">
        <v>2</v>
      </c>
      <c r="H297" s="10" t="n">
        <v>5831</v>
      </c>
      <c r="I297" s="10" t="n">
        <v>4100</v>
      </c>
    </row>
    <row r="298">
      <c r="A298" s="10" t="inlineStr">
        <is>
          <t>ORD-2024088</t>
        </is>
      </c>
      <c r="B298" s="10" t="inlineStr">
        <is>
          <t>2024-01-13</t>
        </is>
      </c>
      <c r="C298" s="10" t="inlineStr">
        <is>
          <t>P111</t>
        </is>
      </c>
      <c r="D298" s="10" t="inlineStr">
        <is>
          <t>Desk Organizer Tray</t>
        </is>
      </c>
      <c r="E298" s="10" t="inlineStr">
        <is>
          <t>Office Supplies</t>
        </is>
      </c>
      <c r="F298" s="10" t="inlineStr">
        <is>
          <t>North</t>
        </is>
      </c>
      <c r="G298" s="10" t="n">
        <v>6</v>
      </c>
      <c r="H298" s="10" t="n">
        <v>480</v>
      </c>
      <c r="I298" s="10" t="n">
        <v>260</v>
      </c>
    </row>
    <row r="299">
      <c r="A299" s="10" t="inlineStr">
        <is>
          <t>ORD-2024215</t>
        </is>
      </c>
      <c r="B299" s="10" t="inlineStr">
        <is>
          <t>2024-08-28</t>
        </is>
      </c>
      <c r="C299" s="10" t="inlineStr">
        <is>
          <t>P113</t>
        </is>
      </c>
      <c r="D299" s="10" t="inlineStr">
        <is>
          <t>Laptop Backpack</t>
        </is>
      </c>
      <c r="E299" s="10" t="inlineStr">
        <is>
          <t>Accessories</t>
        </is>
      </c>
      <c r="F299" s="10" t="inlineStr">
        <is>
          <t>Central</t>
        </is>
      </c>
      <c r="G299" s="10" t="n">
        <v>6</v>
      </c>
      <c r="H299" s="10" t="n">
        <v>1567.02</v>
      </c>
      <c r="I299" s="10" t="n">
        <v>820</v>
      </c>
    </row>
    <row r="300">
      <c r="A300" s="10" t="inlineStr">
        <is>
          <t>ORD-2024122</t>
        </is>
      </c>
      <c r="B300" s="10" t="inlineStr">
        <is>
          <t>2024-01-04</t>
        </is>
      </c>
      <c r="C300" s="10" t="inlineStr">
        <is>
          <t>P106</t>
        </is>
      </c>
      <c r="D300" s="10" t="inlineStr">
        <is>
          <t>Standing Desk</t>
        </is>
      </c>
      <c r="E300" s="10" t="inlineStr">
        <is>
          <t>Furniture</t>
        </is>
      </c>
      <c r="F300" s="10" t="inlineStr">
        <is>
          <t>South</t>
        </is>
      </c>
      <c r="G300" s="10" t="n">
        <v>4</v>
      </c>
      <c r="H300" s="10" t="n">
        <v>17575</v>
      </c>
      <c r="I300" s="10" t="n">
        <v>12500</v>
      </c>
    </row>
    <row r="301">
      <c r="A301" s="10" t="inlineStr">
        <is>
          <t>ORD-2024994</t>
        </is>
      </c>
      <c r="B301" s="10" t="inlineStr">
        <is>
          <t>2024-12-05</t>
        </is>
      </c>
      <c r="C301" s="10" t="inlineStr">
        <is>
          <t>P113</t>
        </is>
      </c>
      <c r="D301" s="10" t="inlineStr">
        <is>
          <t>Laptop Backpack</t>
        </is>
      </c>
      <c r="E301" s="10" t="inlineStr">
        <is>
          <t>Accessories</t>
        </is>
      </c>
      <c r="F301" s="10" t="inlineStr">
        <is>
          <t>West</t>
        </is>
      </c>
      <c r="G301" s="10" t="n">
        <v>3</v>
      </c>
      <c r="H301" s="10" t="n">
        <v>0</v>
      </c>
      <c r="I301" s="10" t="n">
        <v>820</v>
      </c>
    </row>
    <row r="302">
      <c r="A302" s="10" t="inlineStr">
        <is>
          <t>ORD-2024021</t>
        </is>
      </c>
      <c r="B302" s="10" t="inlineStr">
        <is>
          <t>2024-08-07</t>
        </is>
      </c>
      <c r="C302" s="10" t="inlineStr">
        <is>
          <t>P110</t>
        </is>
      </c>
      <c r="D302" s="10" t="inlineStr">
        <is>
          <t>A4 Copier Paper (500s)</t>
        </is>
      </c>
      <c r="E302" s="10" t="inlineStr">
        <is>
          <t>Office Supplies</t>
        </is>
      </c>
      <c r="F302" s="10" t="inlineStr">
        <is>
          <t>South</t>
        </is>
      </c>
      <c r="G302" s="10" t="n">
        <v>4</v>
      </c>
      <c r="H302" s="10" t="n">
        <v>320</v>
      </c>
      <c r="I302" s="10" t="n">
        <v>190</v>
      </c>
    </row>
    <row r="303">
      <c r="A303" s="10" t="inlineStr">
        <is>
          <t>ORD-2024189</t>
        </is>
      </c>
      <c r="B303" s="10" t="inlineStr">
        <is>
          <t>2024-08-11</t>
        </is>
      </c>
      <c r="C303" s="10" t="inlineStr">
        <is>
          <t>P111</t>
        </is>
      </c>
      <c r="D303" s="10" t="inlineStr">
        <is>
          <t>Desk Organizer Tray</t>
        </is>
      </c>
      <c r="E303" s="10" t="inlineStr">
        <is>
          <t>Office Supplies</t>
        </is>
      </c>
      <c r="F303" s="10" t="inlineStr">
        <is>
          <t>West</t>
        </is>
      </c>
      <c r="G303" s="10" t="n">
        <v>2</v>
      </c>
      <c r="H303" s="10" t="n">
        <v>456</v>
      </c>
      <c r="I303" s="10" t="n">
        <v>260</v>
      </c>
    </row>
    <row r="304">
      <c r="A304" s="10" t="inlineStr">
        <is>
          <t>ORD-2024072</t>
        </is>
      </c>
      <c r="B304" s="10" t="inlineStr">
        <is>
          <t>2024-04-14</t>
        </is>
      </c>
      <c r="C304" s="10" t="inlineStr">
        <is>
          <t>P111</t>
        </is>
      </c>
      <c r="D304" s="10" t="inlineStr">
        <is>
          <t>Desk Organizer Tray</t>
        </is>
      </c>
      <c r="E304" s="10" t="inlineStr">
        <is>
          <t>Office Supplies</t>
        </is>
      </c>
      <c r="F304" s="10" t="inlineStr">
        <is>
          <t>East</t>
        </is>
      </c>
      <c r="G304" s="10" t="n">
        <v>5</v>
      </c>
      <c r="H304" s="10" t="n">
        <v>470.4</v>
      </c>
      <c r="I304" s="10" t="n">
        <v>260</v>
      </c>
    </row>
    <row r="305">
      <c r="A305" s="10" t="inlineStr">
        <is>
          <t>ORD-2024107</t>
        </is>
      </c>
      <c r="B305" s="10" t="inlineStr">
        <is>
          <t>2024-02-07</t>
        </is>
      </c>
      <c r="C305" s="10" t="inlineStr">
        <is>
          <t>P108</t>
        </is>
      </c>
      <c r="D305" s="10" t="inlineStr">
        <is>
          <t>Executive Desk Lamp</t>
        </is>
      </c>
      <c r="E305" s="10" t="inlineStr">
        <is>
          <t>Furniture</t>
        </is>
      </c>
      <c r="F305" s="10" t="inlineStr">
        <is>
          <t>South</t>
        </is>
      </c>
      <c r="G305" s="10" t="n">
        <v>4</v>
      </c>
      <c r="H305" s="10" t="n">
        <v>1424.05</v>
      </c>
      <c r="I305" s="10" t="n">
        <v>850</v>
      </c>
    </row>
    <row r="306">
      <c r="A306" s="10" t="inlineStr">
        <is>
          <t>ORD-2024271</t>
        </is>
      </c>
      <c r="B306" s="10" t="inlineStr">
        <is>
          <t>2024-06-13</t>
        </is>
      </c>
      <c r="C306" s="10" t="inlineStr">
        <is>
          <t>P110</t>
        </is>
      </c>
      <c r="D306" s="10" t="inlineStr">
        <is>
          <t>A4 Copier Paper (500s)</t>
        </is>
      </c>
      <c r="E306" s="10" t="inlineStr">
        <is>
          <t>Office Supplies</t>
        </is>
      </c>
      <c r="F306" s="10" t="inlineStr">
        <is>
          <t>North</t>
        </is>
      </c>
      <c r="G306" s="10" t="n">
        <v>3</v>
      </c>
      <c r="H306" s="10" t="n">
        <v>320</v>
      </c>
      <c r="I306" s="10" t="n">
        <v>190</v>
      </c>
    </row>
    <row r="307">
      <c r="A307" s="10" t="inlineStr">
        <is>
          <t>ORD-2024103</t>
        </is>
      </c>
      <c r="B307" s="10" t="inlineStr">
        <is>
          <t>2024-08-14</t>
        </is>
      </c>
      <c r="C307" s="10" t="inlineStr">
        <is>
          <t>P108</t>
        </is>
      </c>
      <c r="D307" s="10" t="inlineStr">
        <is>
          <t>Executive Desk Lamp</t>
        </is>
      </c>
      <c r="E307" s="10" t="inlineStr">
        <is>
          <t>Furniture</t>
        </is>
      </c>
      <c r="F307" s="10" t="inlineStr">
        <is>
          <t>East</t>
        </is>
      </c>
      <c r="G307" s="10" t="n">
        <v>8</v>
      </c>
      <c r="H307" s="10" t="n">
        <v>1499</v>
      </c>
      <c r="I307" s="10" t="n">
        <v>850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30" customWidth="1" min="4" max="4"/>
    <col width="18" customWidth="1" min="5" max="5"/>
    <col width="13" customWidth="1" min="6" max="6"/>
    <col width="13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16" customWidth="1" min="13" max="13"/>
  </cols>
  <sheetData>
    <row r="1">
      <c r="A1" s="16" t="inlineStr">
        <is>
          <t>Order_ID</t>
        </is>
      </c>
      <c r="B1" s="16" t="inlineStr">
        <is>
          <t>Order_Date</t>
        </is>
      </c>
      <c r="C1" s="16" t="inlineStr">
        <is>
          <t>Product_ID</t>
        </is>
      </c>
      <c r="D1" s="16" t="inlineStr">
        <is>
          <t>Product_Name</t>
        </is>
      </c>
      <c r="E1" s="16" t="inlineStr">
        <is>
          <t>Category</t>
        </is>
      </c>
      <c r="F1" s="16" t="inlineStr">
        <is>
          <t>Region</t>
        </is>
      </c>
      <c r="G1" s="16" t="inlineStr">
        <is>
          <t>Quantity</t>
        </is>
      </c>
      <c r="H1" s="16" t="inlineStr">
        <is>
          <t>Selling_Price</t>
        </is>
      </c>
      <c r="I1" s="16" t="inlineStr">
        <is>
          <t>Cost_Price</t>
        </is>
      </c>
      <c r="J1" s="16" t="inlineStr">
        <is>
          <t>Revenue</t>
        </is>
      </c>
      <c r="K1" s="16" t="inlineStr">
        <is>
          <t>Total_Cost</t>
        </is>
      </c>
      <c r="L1" s="16" t="inlineStr">
        <is>
          <t>Profit</t>
        </is>
      </c>
      <c r="M1" s="16" t="inlineStr">
        <is>
          <t>Profit_Margin</t>
        </is>
      </c>
    </row>
    <row r="2">
      <c r="A2" s="10" t="inlineStr">
        <is>
          <t>ORD-2024031</t>
        </is>
      </c>
      <c r="B2" s="10" t="inlineStr">
        <is>
          <t>2024-01-01</t>
        </is>
      </c>
      <c r="C2" s="10" t="inlineStr">
        <is>
          <t>P110</t>
        </is>
      </c>
      <c r="D2" s="10" t="inlineStr">
        <is>
          <t>A4 Copier Paper (500s)</t>
        </is>
      </c>
      <c r="E2" s="10" t="inlineStr">
        <is>
          <t>Office Supplies</t>
        </is>
      </c>
      <c r="F2" s="10" t="inlineStr">
        <is>
          <t>South</t>
        </is>
      </c>
      <c r="G2" s="10" t="n">
        <v>1</v>
      </c>
      <c r="H2" s="11" t="n">
        <v>320</v>
      </c>
      <c r="I2" s="11" t="n">
        <v>190</v>
      </c>
      <c r="J2" s="11">
        <f>G2*H2</f>
        <v/>
      </c>
      <c r="K2" s="11">
        <f>G2*I2</f>
        <v/>
      </c>
      <c r="L2" s="11">
        <f>J2-K2</f>
        <v/>
      </c>
      <c r="M2" s="12">
        <f>(L2/J2)</f>
        <v/>
      </c>
    </row>
    <row r="3">
      <c r="A3" s="10" t="inlineStr">
        <is>
          <t>ORD-2024194</t>
        </is>
      </c>
      <c r="B3" s="10" t="inlineStr">
        <is>
          <t>2024-01-01</t>
        </is>
      </c>
      <c r="C3" s="10" t="inlineStr">
        <is>
          <t>P111</t>
        </is>
      </c>
      <c r="D3" s="10" t="inlineStr">
        <is>
          <t>Desk Organizer Tray</t>
        </is>
      </c>
      <c r="E3" s="10" t="inlineStr">
        <is>
          <t>Office Supplies</t>
        </is>
      </c>
      <c r="F3" s="10" t="inlineStr">
        <is>
          <t>West</t>
        </is>
      </c>
      <c r="G3" s="10" t="n">
        <v>8</v>
      </c>
      <c r="H3" s="11" t="n">
        <v>456</v>
      </c>
      <c r="I3" s="11" t="n">
        <v>260</v>
      </c>
      <c r="J3" s="11">
        <f>G3*H3</f>
        <v/>
      </c>
      <c r="K3" s="11">
        <f>G3*I3</f>
        <v/>
      </c>
      <c r="L3" s="11">
        <f>J3-K3</f>
        <v/>
      </c>
      <c r="M3" s="12">
        <f>(L3/J3)</f>
        <v/>
      </c>
    </row>
    <row r="4">
      <c r="A4" s="10" t="inlineStr">
        <is>
          <t>ORD-2024122</t>
        </is>
      </c>
      <c r="B4" s="10" t="inlineStr">
        <is>
          <t>2024-01-04</t>
        </is>
      </c>
      <c r="C4" s="10" t="inlineStr">
        <is>
          <t>P106</t>
        </is>
      </c>
      <c r="D4" s="10" t="inlineStr">
        <is>
          <t>Standing Desk</t>
        </is>
      </c>
      <c r="E4" s="10" t="inlineStr">
        <is>
          <t>Furniture</t>
        </is>
      </c>
      <c r="F4" s="10" t="inlineStr">
        <is>
          <t>South</t>
        </is>
      </c>
      <c r="G4" s="10" t="n">
        <v>4</v>
      </c>
      <c r="H4" s="11" t="n">
        <v>17575</v>
      </c>
      <c r="I4" s="11" t="n">
        <v>12500</v>
      </c>
      <c r="J4" s="11">
        <f>G4*H4</f>
        <v/>
      </c>
      <c r="K4" s="11">
        <f>G4*I4</f>
        <v/>
      </c>
      <c r="L4" s="11">
        <f>J4-K4</f>
        <v/>
      </c>
      <c r="M4" s="12">
        <f>(L4/J4)</f>
        <v/>
      </c>
    </row>
    <row r="5">
      <c r="A5" s="10" t="inlineStr">
        <is>
          <t>ORD-2024069</t>
        </is>
      </c>
      <c r="B5" s="10" t="inlineStr">
        <is>
          <t>2024-01-05</t>
        </is>
      </c>
      <c r="C5" s="10" t="inlineStr">
        <is>
          <t>P111</t>
        </is>
      </c>
      <c r="D5" s="10" t="inlineStr">
        <is>
          <t>Desk Organizer Tray</t>
        </is>
      </c>
      <c r="E5" s="10" t="inlineStr">
        <is>
          <t>Office Supplies</t>
        </is>
      </c>
      <c r="F5" s="10" t="inlineStr">
        <is>
          <t>West</t>
        </is>
      </c>
      <c r="G5" s="10" t="n">
        <v>5</v>
      </c>
      <c r="H5" s="11" t="n">
        <v>480</v>
      </c>
      <c r="I5" s="11" t="n">
        <v>260</v>
      </c>
      <c r="J5" s="11">
        <f>G5*H5</f>
        <v/>
      </c>
      <c r="K5" s="11">
        <f>G5*I5</f>
        <v/>
      </c>
      <c r="L5" s="11">
        <f>J5-K5</f>
        <v/>
      </c>
      <c r="M5" s="12">
        <f>(L5/J5)</f>
        <v/>
      </c>
    </row>
    <row r="6">
      <c r="A6" s="10" t="inlineStr">
        <is>
          <t>ORD-2024258</t>
        </is>
      </c>
      <c r="B6" s="10" t="inlineStr">
        <is>
          <t>2024-01-11</t>
        </is>
      </c>
      <c r="C6" s="10" t="inlineStr">
        <is>
          <t>P101</t>
        </is>
      </c>
      <c r="D6" s="10" t="inlineStr">
        <is>
          <t>Laptop Pro 15</t>
        </is>
      </c>
      <c r="E6" s="10" t="inlineStr">
        <is>
          <t>Electronics</t>
        </is>
      </c>
      <c r="F6" s="10" t="inlineStr">
        <is>
          <t>West</t>
        </is>
      </c>
      <c r="G6" s="10" t="n">
        <v>2</v>
      </c>
      <c r="H6" s="11" t="n">
        <v>55000</v>
      </c>
      <c r="I6" s="11" t="n">
        <v>45000</v>
      </c>
      <c r="J6" s="11">
        <f>G6*H6</f>
        <v/>
      </c>
      <c r="K6" s="11">
        <f>G6*I6</f>
        <v/>
      </c>
      <c r="L6" s="11">
        <f>J6-K6</f>
        <v/>
      </c>
      <c r="M6" s="12">
        <f>(L6/J6)</f>
        <v/>
      </c>
    </row>
    <row r="7">
      <c r="A7" s="10" t="inlineStr">
        <is>
          <t>ORD-2024088</t>
        </is>
      </c>
      <c r="B7" s="10" t="inlineStr">
        <is>
          <t>2024-01-13</t>
        </is>
      </c>
      <c r="C7" s="10" t="inlineStr">
        <is>
          <t>P111</t>
        </is>
      </c>
      <c r="D7" s="10" t="inlineStr">
        <is>
          <t>Desk Organizer Tray</t>
        </is>
      </c>
      <c r="E7" s="10" t="inlineStr">
        <is>
          <t>Office Supplies</t>
        </is>
      </c>
      <c r="F7" s="10" t="inlineStr">
        <is>
          <t>North</t>
        </is>
      </c>
      <c r="G7" s="10" t="n">
        <v>6</v>
      </c>
      <c r="H7" s="11" t="n">
        <v>480</v>
      </c>
      <c r="I7" s="11" t="n">
        <v>260</v>
      </c>
      <c r="J7" s="11">
        <f>G7*H7</f>
        <v/>
      </c>
      <c r="K7" s="11">
        <f>G7*I7</f>
        <v/>
      </c>
      <c r="L7" s="11">
        <f>J7-K7</f>
        <v/>
      </c>
      <c r="M7" s="12">
        <f>(L7/J7)</f>
        <v/>
      </c>
    </row>
    <row r="8">
      <c r="A8" s="10" t="inlineStr">
        <is>
          <t>ORD-2024125</t>
        </is>
      </c>
      <c r="B8" s="10" t="inlineStr">
        <is>
          <t>2024-01-15</t>
        </is>
      </c>
      <c r="C8" s="10" t="inlineStr">
        <is>
          <t>P107</t>
        </is>
      </c>
      <c r="D8" s="10" t="inlineStr">
        <is>
          <t>Bookshelf Cabinet</t>
        </is>
      </c>
      <c r="E8" s="10" t="inlineStr">
        <is>
          <t>Furniture</t>
        </is>
      </c>
      <c r="F8" s="10" t="inlineStr">
        <is>
          <t>South</t>
        </is>
      </c>
      <c r="G8" s="10" t="n">
        <v>4</v>
      </c>
      <c r="H8" s="11" t="n">
        <v>5950</v>
      </c>
      <c r="I8" s="11" t="n">
        <v>4100</v>
      </c>
      <c r="J8" s="11">
        <f>G8*H8</f>
        <v/>
      </c>
      <c r="K8" s="11">
        <f>G8*I8</f>
        <v/>
      </c>
      <c r="L8" s="11">
        <f>J8-K8</f>
        <v/>
      </c>
      <c r="M8" s="12">
        <f>(L8/J8)</f>
        <v/>
      </c>
    </row>
    <row r="9">
      <c r="A9" s="10" t="inlineStr">
        <is>
          <t>ORD-2024091</t>
        </is>
      </c>
      <c r="B9" s="10" t="inlineStr">
        <is>
          <t>2024-01-15</t>
        </is>
      </c>
      <c r="C9" s="10" t="inlineStr">
        <is>
          <t>P102</t>
        </is>
      </c>
      <c r="D9" s="10" t="inlineStr">
        <is>
          <t>Wireless Mouse</t>
        </is>
      </c>
      <c r="E9" s="10" t="inlineStr">
        <is>
          <t>Electronics</t>
        </is>
      </c>
      <c r="F9" s="10" t="inlineStr">
        <is>
          <t>West</t>
        </is>
      </c>
      <c r="G9" s="10" t="n">
        <v>5</v>
      </c>
      <c r="H9" s="11" t="n">
        <v>750</v>
      </c>
      <c r="I9" s="11" t="n">
        <v>420</v>
      </c>
      <c r="J9" s="11">
        <f>G9*H9</f>
        <v/>
      </c>
      <c r="K9" s="11">
        <f>G9*I9</f>
        <v/>
      </c>
      <c r="L9" s="11">
        <f>J9-K9</f>
        <v/>
      </c>
      <c r="M9" s="12">
        <f>(L9/J9)</f>
        <v/>
      </c>
    </row>
    <row r="10">
      <c r="A10" s="10" t="inlineStr">
        <is>
          <t>ORD-2024149</t>
        </is>
      </c>
      <c r="B10" s="10" t="inlineStr">
        <is>
          <t>2024-01-15</t>
        </is>
      </c>
      <c r="C10" s="10" t="inlineStr">
        <is>
          <t>P108</t>
        </is>
      </c>
      <c r="D10" s="10" t="inlineStr">
        <is>
          <t>Executive Desk Lamp</t>
        </is>
      </c>
      <c r="E10" s="10" t="inlineStr">
        <is>
          <t>Furniture</t>
        </is>
      </c>
      <c r="F10" s="10" t="inlineStr">
        <is>
          <t>West</t>
        </is>
      </c>
      <c r="G10" s="10" t="n">
        <v>3</v>
      </c>
      <c r="H10" s="11" t="n">
        <v>1424.05</v>
      </c>
      <c r="I10" s="11" t="n">
        <v>850</v>
      </c>
      <c r="J10" s="11">
        <f>G10*H10</f>
        <v/>
      </c>
      <c r="K10" s="11">
        <f>G10*I10</f>
        <v/>
      </c>
      <c r="L10" s="11">
        <f>J10-K10</f>
        <v/>
      </c>
      <c r="M10" s="12">
        <f>(L10/J10)</f>
        <v/>
      </c>
    </row>
    <row r="11">
      <c r="A11" s="10" t="inlineStr">
        <is>
          <t>ORD-2024133</t>
        </is>
      </c>
      <c r="B11" s="10" t="inlineStr">
        <is>
          <t>2024-01-16</t>
        </is>
      </c>
      <c r="C11" s="10" t="inlineStr">
        <is>
          <t>P104</t>
        </is>
      </c>
      <c r="D11" s="10" t="inlineStr">
        <is>
          <t>Noise-Cancelling Headphones</t>
        </is>
      </c>
      <c r="E11" s="10" t="inlineStr">
        <is>
          <t>Electronics</t>
        </is>
      </c>
      <c r="F11" s="10" t="inlineStr">
        <is>
          <t>North</t>
        </is>
      </c>
      <c r="G11" s="10" t="n">
        <v>1</v>
      </c>
      <c r="H11" s="11" t="n">
        <v>5879.02</v>
      </c>
      <c r="I11" s="11" t="n">
        <v>3600</v>
      </c>
      <c r="J11" s="11">
        <f>G11*H11</f>
        <v/>
      </c>
      <c r="K11" s="11">
        <f>G11*I11</f>
        <v/>
      </c>
      <c r="L11" s="11">
        <f>J11-K11</f>
        <v/>
      </c>
      <c r="M11" s="12">
        <f>(L11/J11)</f>
        <v/>
      </c>
    </row>
    <row r="12">
      <c r="A12" s="10" t="inlineStr">
        <is>
          <t>ORD-2024237</t>
        </is>
      </c>
      <c r="B12" s="10" t="inlineStr">
        <is>
          <t>2024-01-18</t>
        </is>
      </c>
      <c r="C12" s="10" t="inlineStr">
        <is>
          <t>P110</t>
        </is>
      </c>
      <c r="D12" s="10" t="inlineStr">
        <is>
          <t>A4 Copier Paper (500s)</t>
        </is>
      </c>
      <c r="E12" s="10" t="inlineStr">
        <is>
          <t>Office Supplies</t>
        </is>
      </c>
      <c r="F12" s="10" t="inlineStr">
        <is>
          <t>South</t>
        </is>
      </c>
      <c r="G12" s="10" t="n">
        <v>3</v>
      </c>
      <c r="H12" s="11" t="n">
        <v>320</v>
      </c>
      <c r="I12" s="11" t="n">
        <v>190</v>
      </c>
      <c r="J12" s="11">
        <f>G12*H12</f>
        <v/>
      </c>
      <c r="K12" s="11">
        <f>G12*I12</f>
        <v/>
      </c>
      <c r="L12" s="11">
        <f>J12-K12</f>
        <v/>
      </c>
      <c r="M12" s="12">
        <f>(L12/J12)</f>
        <v/>
      </c>
    </row>
    <row r="13">
      <c r="A13" s="10" t="inlineStr">
        <is>
          <t>ORD-2024212</t>
        </is>
      </c>
      <c r="B13" s="10" t="inlineStr">
        <is>
          <t>2024-01-19</t>
        </is>
      </c>
      <c r="C13" s="10" t="inlineStr">
        <is>
          <t>P103</t>
        </is>
      </c>
      <c r="D13" s="10" t="inlineStr">
        <is>
          <t>Mechanical Keyboard</t>
        </is>
      </c>
      <c r="E13" s="10" t="inlineStr">
        <is>
          <t>Electronics</t>
        </is>
      </c>
      <c r="F13" s="10" t="inlineStr">
        <is>
          <t>South</t>
        </is>
      </c>
      <c r="G13" s="10" t="n">
        <v>3</v>
      </c>
      <c r="H13" s="11" t="n">
        <v>2800</v>
      </c>
      <c r="I13" s="11" t="n">
        <v>1850</v>
      </c>
      <c r="J13" s="11">
        <f>G13*H13</f>
        <v/>
      </c>
      <c r="K13" s="11">
        <f>G13*I13</f>
        <v/>
      </c>
      <c r="L13" s="11">
        <f>J13-K13</f>
        <v/>
      </c>
      <c r="M13" s="12">
        <f>(L13/J13)</f>
        <v/>
      </c>
    </row>
    <row r="14">
      <c r="A14" s="10" t="inlineStr">
        <is>
          <t>ORD-2024078</t>
        </is>
      </c>
      <c r="B14" s="10" t="inlineStr">
        <is>
          <t>2024-01-19</t>
        </is>
      </c>
      <c r="C14" s="10" t="inlineStr">
        <is>
          <t>P114</t>
        </is>
      </c>
      <c r="D14" s="10" t="inlineStr">
        <is>
          <t>Webcam 1080p HD</t>
        </is>
      </c>
      <c r="E14" s="10" t="inlineStr">
        <is>
          <t>Accessories</t>
        </is>
      </c>
      <c r="F14" s="10" t="inlineStr">
        <is>
          <t>South</t>
        </is>
      </c>
      <c r="G14" s="10" t="n">
        <v>9</v>
      </c>
      <c r="H14" s="11" t="n">
        <v>2450</v>
      </c>
      <c r="I14" s="11" t="n">
        <v>1450</v>
      </c>
      <c r="J14" s="11">
        <f>G14*H14</f>
        <v/>
      </c>
      <c r="K14" s="11">
        <f>G14*I14</f>
        <v/>
      </c>
      <c r="L14" s="11">
        <f>J14-K14</f>
        <v/>
      </c>
      <c r="M14" s="12">
        <f>(L14/J14)</f>
        <v/>
      </c>
    </row>
    <row r="15">
      <c r="A15" s="10" t="inlineStr">
        <is>
          <t>ORD-2024218</t>
        </is>
      </c>
      <c r="B15" s="10" t="inlineStr">
        <is>
          <t>2024-01-19</t>
        </is>
      </c>
      <c r="C15" s="10" t="inlineStr">
        <is>
          <t>P110</t>
        </is>
      </c>
      <c r="D15" s="10" t="inlineStr">
        <is>
          <t>A4 Copier Paper (500s)</t>
        </is>
      </c>
      <c r="E15" s="10" t="inlineStr">
        <is>
          <t>Office Supplies</t>
        </is>
      </c>
      <c r="F15" s="10" t="inlineStr">
        <is>
          <t>North</t>
        </is>
      </c>
      <c r="G15" s="10" t="n">
        <v>11</v>
      </c>
      <c r="H15" s="11" t="n">
        <v>320</v>
      </c>
      <c r="I15" s="11" t="n">
        <v>190</v>
      </c>
      <c r="J15" s="11">
        <f>G15*H15</f>
        <v/>
      </c>
      <c r="K15" s="11">
        <f>G15*I15</f>
        <v/>
      </c>
      <c r="L15" s="11">
        <f>J15-K15</f>
        <v/>
      </c>
      <c r="M15" s="12">
        <f>(L15/J15)</f>
        <v/>
      </c>
    </row>
    <row r="16">
      <c r="A16" s="10" t="inlineStr">
        <is>
          <t>ORD-2024187</t>
        </is>
      </c>
      <c r="B16" s="10" t="inlineStr">
        <is>
          <t>2024-01-21</t>
        </is>
      </c>
      <c r="C16" s="10" t="inlineStr">
        <is>
          <t>P113</t>
        </is>
      </c>
      <c r="D16" s="10" t="inlineStr">
        <is>
          <t>Laptop Backpack</t>
        </is>
      </c>
      <c r="E16" s="10" t="inlineStr">
        <is>
          <t>Accessories</t>
        </is>
      </c>
      <c r="F16" s="10" t="inlineStr">
        <is>
          <t>West</t>
        </is>
      </c>
      <c r="G16" s="10" t="n">
        <v>8</v>
      </c>
      <c r="H16" s="11" t="n">
        <v>1567.02</v>
      </c>
      <c r="I16" s="11" t="n">
        <v>820</v>
      </c>
      <c r="J16" s="11">
        <f>G16*H16</f>
        <v/>
      </c>
      <c r="K16" s="11">
        <f>G16*I16</f>
        <v/>
      </c>
      <c r="L16" s="11">
        <f>J16-K16</f>
        <v/>
      </c>
      <c r="M16" s="12">
        <f>(L16/J16)</f>
        <v/>
      </c>
    </row>
    <row r="17">
      <c r="A17" s="10" t="inlineStr">
        <is>
          <t>ORD-2024210</t>
        </is>
      </c>
      <c r="B17" s="10" t="inlineStr">
        <is>
          <t>2024-01-23</t>
        </is>
      </c>
      <c r="C17" s="10" t="inlineStr">
        <is>
          <t>P106</t>
        </is>
      </c>
      <c r="D17" s="10" t="inlineStr">
        <is>
          <t>Standing Desk</t>
        </is>
      </c>
      <c r="E17" s="10" t="inlineStr">
        <is>
          <t>Furniture</t>
        </is>
      </c>
      <c r="F17" s="10" t="inlineStr">
        <is>
          <t>West</t>
        </is>
      </c>
      <c r="G17" s="10" t="n">
        <v>4</v>
      </c>
      <c r="H17" s="11" t="n">
        <v>17575</v>
      </c>
      <c r="I17" s="11" t="n">
        <v>12500</v>
      </c>
      <c r="J17" s="11">
        <f>G17*H17</f>
        <v/>
      </c>
      <c r="K17" s="11">
        <f>G17*I17</f>
        <v/>
      </c>
      <c r="L17" s="11">
        <f>J17-K17</f>
        <v/>
      </c>
      <c r="M17" s="12">
        <f>(L17/J17)</f>
        <v/>
      </c>
    </row>
    <row r="18">
      <c r="A18" s="10" t="inlineStr">
        <is>
          <t>ORD-2024249</t>
        </is>
      </c>
      <c r="B18" s="10" t="inlineStr">
        <is>
          <t>2024-01-24</t>
        </is>
      </c>
      <c r="C18" s="10" t="inlineStr">
        <is>
          <t>P101</t>
        </is>
      </c>
      <c r="D18" s="10" t="inlineStr">
        <is>
          <t>Laptop Pro 15</t>
        </is>
      </c>
      <c r="E18" s="10" t="inlineStr">
        <is>
          <t>Electronics</t>
        </is>
      </c>
      <c r="F18" s="10" t="inlineStr">
        <is>
          <t>South</t>
        </is>
      </c>
      <c r="G18" s="10" t="n">
        <v>4</v>
      </c>
      <c r="H18" s="11" t="n">
        <v>55000</v>
      </c>
      <c r="I18" s="11" t="n">
        <v>45000</v>
      </c>
      <c r="J18" s="11">
        <f>G18*H18</f>
        <v/>
      </c>
      <c r="K18" s="11">
        <f>G18*I18</f>
        <v/>
      </c>
      <c r="L18" s="11">
        <f>J18-K18</f>
        <v/>
      </c>
      <c r="M18" s="12">
        <f>(L18/J18)</f>
        <v/>
      </c>
    </row>
    <row r="19">
      <c r="A19" s="10" t="inlineStr">
        <is>
          <t>ORD-2024196</t>
        </is>
      </c>
      <c r="B19" s="10" t="inlineStr">
        <is>
          <t>2024-01-27</t>
        </is>
      </c>
      <c r="C19" s="10" t="inlineStr">
        <is>
          <t>P104</t>
        </is>
      </c>
      <c r="D19" s="10" t="inlineStr">
        <is>
          <t>Noise-Cancelling Headphones</t>
        </is>
      </c>
      <c r="E19" s="10" t="inlineStr">
        <is>
          <t>Electronics</t>
        </is>
      </c>
      <c r="F19" s="10" t="inlineStr">
        <is>
          <t>North</t>
        </is>
      </c>
      <c r="G19" s="10" t="n">
        <v>2</v>
      </c>
      <c r="H19" s="11" t="n">
        <v>5999</v>
      </c>
      <c r="I19" s="11" t="n">
        <v>3600</v>
      </c>
      <c r="J19" s="11">
        <f>G19*H19</f>
        <v/>
      </c>
      <c r="K19" s="11">
        <f>G19*I19</f>
        <v/>
      </c>
      <c r="L19" s="11">
        <f>J19-K19</f>
        <v/>
      </c>
      <c r="M19" s="12">
        <f>(L19/J19)</f>
        <v/>
      </c>
    </row>
    <row r="20">
      <c r="A20" s="10" t="inlineStr">
        <is>
          <t>ORD-2024195</t>
        </is>
      </c>
      <c r="B20" s="10" t="inlineStr">
        <is>
          <t>2024-01-28</t>
        </is>
      </c>
      <c r="C20" s="10" t="inlineStr">
        <is>
          <t>P104</t>
        </is>
      </c>
      <c r="D20" s="10" t="inlineStr">
        <is>
          <t>Noise-Cancelling Headphones</t>
        </is>
      </c>
      <c r="E20" s="10" t="inlineStr">
        <is>
          <t>Electronics</t>
        </is>
      </c>
      <c r="F20" s="10" t="inlineStr">
        <is>
          <t>South</t>
        </is>
      </c>
      <c r="G20" s="10" t="n">
        <v>4</v>
      </c>
      <c r="H20" s="11" t="n">
        <v>5699.05</v>
      </c>
      <c r="I20" s="11" t="n">
        <v>3600</v>
      </c>
      <c r="J20" s="11">
        <f>G20*H20</f>
        <v/>
      </c>
      <c r="K20" s="11">
        <f>G20*I20</f>
        <v/>
      </c>
      <c r="L20" s="11">
        <f>J20-K20</f>
        <v/>
      </c>
      <c r="M20" s="12">
        <f>(L20/J20)</f>
        <v/>
      </c>
    </row>
    <row r="21">
      <c r="A21" s="10" t="inlineStr">
        <is>
          <t>ORD-2024299</t>
        </is>
      </c>
      <c r="B21" s="10" t="inlineStr">
        <is>
          <t>2024-01-29</t>
        </is>
      </c>
      <c r="C21" s="10" t="inlineStr">
        <is>
          <t>P101</t>
        </is>
      </c>
      <c r="D21" s="10" t="inlineStr">
        <is>
          <t>Laptop Pro 15</t>
        </is>
      </c>
      <c r="E21" s="10" t="inlineStr">
        <is>
          <t>Electronics</t>
        </is>
      </c>
      <c r="F21" s="10" t="inlineStr">
        <is>
          <t>North</t>
        </is>
      </c>
      <c r="G21" s="10" t="n">
        <v>2</v>
      </c>
      <c r="H21" s="11" t="n">
        <v>55000</v>
      </c>
      <c r="I21" s="11" t="n">
        <v>45000</v>
      </c>
      <c r="J21" s="11">
        <f>G21*H21</f>
        <v/>
      </c>
      <c r="K21" s="11">
        <f>G21*I21</f>
        <v/>
      </c>
      <c r="L21" s="11">
        <f>J21-K21</f>
        <v/>
      </c>
      <c r="M21" s="12">
        <f>(L21/J21)</f>
        <v/>
      </c>
    </row>
    <row r="22">
      <c r="A22" s="10" t="inlineStr">
        <is>
          <t>ORD-2024017</t>
        </is>
      </c>
      <c r="B22" s="10" t="inlineStr">
        <is>
          <t>2024-01-29</t>
        </is>
      </c>
      <c r="C22" s="10" t="inlineStr">
        <is>
          <t>P104</t>
        </is>
      </c>
      <c r="D22" s="10" t="inlineStr">
        <is>
          <t>Noise-Cancelling Headphones</t>
        </is>
      </c>
      <c r="E22" s="10" t="inlineStr">
        <is>
          <t>Electronics</t>
        </is>
      </c>
      <c r="F22" s="10" t="inlineStr">
        <is>
          <t>West</t>
        </is>
      </c>
      <c r="G22" s="10" t="n">
        <v>3</v>
      </c>
      <c r="H22" s="11" t="n">
        <v>5699.05</v>
      </c>
      <c r="I22" s="11" t="n">
        <v>3600</v>
      </c>
      <c r="J22" s="11">
        <f>G22*H22</f>
        <v/>
      </c>
      <c r="K22" s="11">
        <f>G22*I22</f>
        <v/>
      </c>
      <c r="L22" s="11">
        <f>J22-K22</f>
        <v/>
      </c>
      <c r="M22" s="12">
        <f>(L22/J22)</f>
        <v/>
      </c>
    </row>
    <row r="23">
      <c r="A23" s="10" t="inlineStr">
        <is>
          <t>ORD-2024269</t>
        </is>
      </c>
      <c r="B23" s="10" t="inlineStr">
        <is>
          <t>2024-02-01</t>
        </is>
      </c>
      <c r="C23" s="10" t="inlineStr">
        <is>
          <t>P108</t>
        </is>
      </c>
      <c r="D23" s="10" t="inlineStr">
        <is>
          <t>Executive Desk Lamp</t>
        </is>
      </c>
      <c r="E23" s="10" t="inlineStr">
        <is>
          <t>Furniture</t>
        </is>
      </c>
      <c r="F23" s="10" t="inlineStr">
        <is>
          <t>West</t>
        </is>
      </c>
      <c r="G23" s="10" t="n">
        <v>7</v>
      </c>
      <c r="H23" s="11" t="n">
        <v>1499</v>
      </c>
      <c r="I23" s="11" t="n">
        <v>850</v>
      </c>
      <c r="J23" s="11">
        <f>G23*H23</f>
        <v/>
      </c>
      <c r="K23" s="11">
        <f>G23*I23</f>
        <v/>
      </c>
      <c r="L23" s="11">
        <f>J23-K23</f>
        <v/>
      </c>
      <c r="M23" s="12">
        <f>(L23/J23)</f>
        <v/>
      </c>
    </row>
    <row r="24">
      <c r="A24" s="10" t="inlineStr">
        <is>
          <t>ORD-2024120</t>
        </is>
      </c>
      <c r="B24" s="10" t="inlineStr">
        <is>
          <t>2024-02-01</t>
        </is>
      </c>
      <c r="C24" s="10" t="inlineStr">
        <is>
          <t>P104</t>
        </is>
      </c>
      <c r="D24" s="10" t="inlineStr">
        <is>
          <t>Noise-Cancelling Headphones</t>
        </is>
      </c>
      <c r="E24" s="10" t="inlineStr">
        <is>
          <t>Electronics</t>
        </is>
      </c>
      <c r="F24" s="10" t="inlineStr">
        <is>
          <t>West</t>
        </is>
      </c>
      <c r="G24" s="10" t="n">
        <v>4</v>
      </c>
      <c r="H24" s="11" t="n">
        <v>5879.02</v>
      </c>
      <c r="I24" s="11" t="n">
        <v>3600</v>
      </c>
      <c r="J24" s="11">
        <f>G24*H24</f>
        <v/>
      </c>
      <c r="K24" s="11">
        <f>G24*I24</f>
        <v/>
      </c>
      <c r="L24" s="11">
        <f>J24-K24</f>
        <v/>
      </c>
      <c r="M24" s="12">
        <f>(L24/J24)</f>
        <v/>
      </c>
    </row>
    <row r="25">
      <c r="A25" s="10" t="inlineStr">
        <is>
          <t>ORD-2024047</t>
        </is>
      </c>
      <c r="B25" s="10" t="inlineStr">
        <is>
          <t>2024-02-01</t>
        </is>
      </c>
      <c r="C25" s="10" t="inlineStr">
        <is>
          <t>P107</t>
        </is>
      </c>
      <c r="D25" s="10" t="inlineStr">
        <is>
          <t>Bookshelf Cabinet</t>
        </is>
      </c>
      <c r="E25" s="10" t="inlineStr">
        <is>
          <t>Furniture</t>
        </is>
      </c>
      <c r="F25" s="10" t="inlineStr">
        <is>
          <t>West</t>
        </is>
      </c>
      <c r="G25" s="10" t="n">
        <v>1</v>
      </c>
      <c r="H25" s="11" t="n">
        <v>5950</v>
      </c>
      <c r="I25" s="11" t="n">
        <v>4100</v>
      </c>
      <c r="J25" s="11">
        <f>G25*H25</f>
        <v/>
      </c>
      <c r="K25" s="11">
        <f>G25*I25</f>
        <v/>
      </c>
      <c r="L25" s="11">
        <f>J25-K25</f>
        <v/>
      </c>
      <c r="M25" s="12">
        <f>(L25/J25)</f>
        <v/>
      </c>
    </row>
    <row r="26">
      <c r="A26" s="10" t="inlineStr">
        <is>
          <t>ORD-2024039</t>
        </is>
      </c>
      <c r="B26" s="10" t="inlineStr">
        <is>
          <t>2024-02-02</t>
        </is>
      </c>
      <c r="C26" s="10" t="inlineStr">
        <is>
          <t>P106</t>
        </is>
      </c>
      <c r="D26" s="10" t="inlineStr">
        <is>
          <t>Standing Desk</t>
        </is>
      </c>
      <c r="E26" s="10" t="inlineStr">
        <is>
          <t>Furniture</t>
        </is>
      </c>
      <c r="F26" s="10" t="inlineStr">
        <is>
          <t>North</t>
        </is>
      </c>
      <c r="G26" s="10" t="n">
        <v>2</v>
      </c>
      <c r="H26" s="11" t="n">
        <v>18130</v>
      </c>
      <c r="I26" s="11" t="n">
        <v>12500</v>
      </c>
      <c r="J26" s="11">
        <f>G26*H26</f>
        <v/>
      </c>
      <c r="K26" s="11">
        <f>G26*I26</f>
        <v/>
      </c>
      <c r="L26" s="11">
        <f>J26-K26</f>
        <v/>
      </c>
      <c r="M26" s="12">
        <f>(L26/J26)</f>
        <v/>
      </c>
    </row>
    <row r="27">
      <c r="A27" s="10" t="inlineStr">
        <is>
          <t>ORD-2024059</t>
        </is>
      </c>
      <c r="B27" s="10" t="inlineStr">
        <is>
          <t>2024-02-04</t>
        </is>
      </c>
      <c r="C27" s="10" t="inlineStr">
        <is>
          <t>P111</t>
        </is>
      </c>
      <c r="D27" s="10" t="inlineStr">
        <is>
          <t>Desk Organizer Tray</t>
        </is>
      </c>
      <c r="E27" s="10" t="inlineStr">
        <is>
          <t>Office Supplies</t>
        </is>
      </c>
      <c r="F27" s="10" t="inlineStr">
        <is>
          <t>West</t>
        </is>
      </c>
      <c r="G27" s="10" t="n">
        <v>7</v>
      </c>
      <c r="H27" s="11" t="n">
        <v>480</v>
      </c>
      <c r="I27" s="11" t="n">
        <v>260</v>
      </c>
      <c r="J27" s="11">
        <f>G27*H27</f>
        <v/>
      </c>
      <c r="K27" s="11">
        <f>G27*I27</f>
        <v/>
      </c>
      <c r="L27" s="11">
        <f>J27-K27</f>
        <v/>
      </c>
      <c r="M27" s="12">
        <f>(L27/J27)</f>
        <v/>
      </c>
    </row>
    <row r="28">
      <c r="A28" s="10" t="inlineStr">
        <is>
          <t>ORD-2024041</t>
        </is>
      </c>
      <c r="B28" s="10" t="inlineStr">
        <is>
          <t>2024-02-04</t>
        </is>
      </c>
      <c r="C28" s="10" t="inlineStr">
        <is>
          <t>P101</t>
        </is>
      </c>
      <c r="D28" s="10" t="inlineStr">
        <is>
          <t>Laptop Pro 15</t>
        </is>
      </c>
      <c r="E28" s="10" t="inlineStr">
        <is>
          <t>Electronics</t>
        </is>
      </c>
      <c r="F28" s="10" t="inlineStr">
        <is>
          <t>West</t>
        </is>
      </c>
      <c r="G28" s="10" t="n">
        <v>1</v>
      </c>
      <c r="H28" s="11" t="n">
        <v>53900</v>
      </c>
      <c r="I28" s="11" t="n">
        <v>45000</v>
      </c>
      <c r="J28" s="11">
        <f>G28*H28</f>
        <v/>
      </c>
      <c r="K28" s="11">
        <f>G28*I28</f>
        <v/>
      </c>
      <c r="L28" s="11">
        <f>J28-K28</f>
        <v/>
      </c>
      <c r="M28" s="12">
        <f>(L28/J28)</f>
        <v/>
      </c>
    </row>
    <row r="29">
      <c r="A29" s="10" t="inlineStr">
        <is>
          <t>ORD-2024067</t>
        </is>
      </c>
      <c r="B29" s="10" t="inlineStr">
        <is>
          <t>2024-02-05</t>
        </is>
      </c>
      <c r="C29" s="10" t="inlineStr">
        <is>
          <t>P104</t>
        </is>
      </c>
      <c r="D29" s="10" t="inlineStr">
        <is>
          <t>Noise-Cancelling Headphones</t>
        </is>
      </c>
      <c r="E29" s="10" t="inlineStr">
        <is>
          <t>Electronics</t>
        </is>
      </c>
      <c r="F29" s="10" t="inlineStr">
        <is>
          <t>South</t>
        </is>
      </c>
      <c r="G29" s="10" t="n">
        <v>2</v>
      </c>
      <c r="H29" s="11" t="n">
        <v>5699.05</v>
      </c>
      <c r="I29" s="11" t="n">
        <v>3600</v>
      </c>
      <c r="J29" s="11">
        <f>G29*H29</f>
        <v/>
      </c>
      <c r="K29" s="11">
        <f>G29*I29</f>
        <v/>
      </c>
      <c r="L29" s="11">
        <f>J29-K29</f>
        <v/>
      </c>
      <c r="M29" s="12">
        <f>(L29/J29)</f>
        <v/>
      </c>
    </row>
    <row r="30">
      <c r="A30" s="10" t="inlineStr">
        <is>
          <t>ORD-2024204</t>
        </is>
      </c>
      <c r="B30" s="10" t="inlineStr">
        <is>
          <t>2024-02-05</t>
        </is>
      </c>
      <c r="C30" s="10" t="inlineStr">
        <is>
          <t>P105</t>
        </is>
      </c>
      <c r="D30" s="10" t="inlineStr">
        <is>
          <t>Ergonomic Office Chair</t>
        </is>
      </c>
      <c r="E30" s="10" t="inlineStr">
        <is>
          <t>Furniture</t>
        </is>
      </c>
      <c r="F30" s="10" t="inlineStr">
        <is>
          <t>West</t>
        </is>
      </c>
      <c r="G30" s="10" t="n">
        <v>4</v>
      </c>
      <c r="H30" s="11" t="n">
        <v>9999</v>
      </c>
      <c r="I30" s="11" t="n">
        <v>6800</v>
      </c>
      <c r="J30" s="11">
        <f>G30*H30</f>
        <v/>
      </c>
      <c r="K30" s="11">
        <f>G30*I30</f>
        <v/>
      </c>
      <c r="L30" s="11">
        <f>J30-K30</f>
        <v/>
      </c>
      <c r="M30" s="12">
        <f>(L30/J30)</f>
        <v/>
      </c>
    </row>
    <row r="31">
      <c r="A31" s="10" t="inlineStr">
        <is>
          <t>ORD-2024089</t>
        </is>
      </c>
      <c r="B31" s="10" t="inlineStr">
        <is>
          <t>2024-02-05</t>
        </is>
      </c>
      <c r="C31" s="10" t="inlineStr">
        <is>
          <t>P113</t>
        </is>
      </c>
      <c r="D31" s="10" t="inlineStr">
        <is>
          <t>Laptop Backpack</t>
        </is>
      </c>
      <c r="E31" s="10" t="inlineStr">
        <is>
          <t>Accessories</t>
        </is>
      </c>
      <c r="F31" s="10" t="inlineStr">
        <is>
          <t>North</t>
        </is>
      </c>
      <c r="G31" s="10" t="n">
        <v>11</v>
      </c>
      <c r="H31" s="11" t="n">
        <v>1567.02</v>
      </c>
      <c r="I31" s="11" t="n">
        <v>820</v>
      </c>
      <c r="J31" s="11">
        <f>G31*H31</f>
        <v/>
      </c>
      <c r="K31" s="11">
        <f>G31*I31</f>
        <v/>
      </c>
      <c r="L31" s="11">
        <f>J31-K31</f>
        <v/>
      </c>
      <c r="M31" s="12">
        <f>(L31/J31)</f>
        <v/>
      </c>
    </row>
    <row r="32">
      <c r="A32" s="10" t="inlineStr">
        <is>
          <t>ORD-2024034</t>
        </is>
      </c>
      <c r="B32" s="10" t="inlineStr">
        <is>
          <t>2024-02-05</t>
        </is>
      </c>
      <c r="C32" s="10" t="inlineStr">
        <is>
          <t>P113</t>
        </is>
      </c>
      <c r="D32" s="10" t="inlineStr">
        <is>
          <t>Laptop Backpack</t>
        </is>
      </c>
      <c r="E32" s="10" t="inlineStr">
        <is>
          <t>Accessories</t>
        </is>
      </c>
      <c r="F32" s="10" t="inlineStr">
        <is>
          <t>East</t>
        </is>
      </c>
      <c r="G32" s="10" t="n">
        <v>3</v>
      </c>
      <c r="H32" s="11" t="n">
        <v>1599</v>
      </c>
      <c r="I32" s="11" t="n">
        <v>820</v>
      </c>
      <c r="J32" s="11">
        <f>G32*H32</f>
        <v/>
      </c>
      <c r="K32" s="11">
        <f>G32*I32</f>
        <v/>
      </c>
      <c r="L32" s="11">
        <f>J32-K32</f>
        <v/>
      </c>
      <c r="M32" s="12">
        <f>(L32/J32)</f>
        <v/>
      </c>
    </row>
    <row r="33">
      <c r="A33" s="10" t="inlineStr">
        <is>
          <t>ORD-2024168</t>
        </is>
      </c>
      <c r="B33" s="10" t="inlineStr">
        <is>
          <t>2024-02-07</t>
        </is>
      </c>
      <c r="C33" s="10" t="inlineStr">
        <is>
          <t>P110</t>
        </is>
      </c>
      <c r="D33" s="10" t="inlineStr">
        <is>
          <t>A4 Copier Paper (500s)</t>
        </is>
      </c>
      <c r="E33" s="10" t="inlineStr">
        <is>
          <t>Office Supplies</t>
        </is>
      </c>
      <c r="F33" s="10" t="inlineStr">
        <is>
          <t>East</t>
        </is>
      </c>
      <c r="G33" s="10" t="n">
        <v>1</v>
      </c>
      <c r="H33" s="11" t="n">
        <v>320</v>
      </c>
      <c r="I33" s="11" t="n">
        <v>190</v>
      </c>
      <c r="J33" s="11">
        <f>G33*H33</f>
        <v/>
      </c>
      <c r="K33" s="11">
        <f>G33*I33</f>
        <v/>
      </c>
      <c r="L33" s="11">
        <f>J33-K33</f>
        <v/>
      </c>
      <c r="M33" s="12">
        <f>(L33/J33)</f>
        <v/>
      </c>
    </row>
    <row r="34">
      <c r="A34" s="10" t="inlineStr">
        <is>
          <t>ORD-2024107</t>
        </is>
      </c>
      <c r="B34" s="10" t="inlineStr">
        <is>
          <t>2024-02-07</t>
        </is>
      </c>
      <c r="C34" s="10" t="inlineStr">
        <is>
          <t>P108</t>
        </is>
      </c>
      <c r="D34" s="10" t="inlineStr">
        <is>
          <t>Executive Desk Lamp</t>
        </is>
      </c>
      <c r="E34" s="10" t="inlineStr">
        <is>
          <t>Furniture</t>
        </is>
      </c>
      <c r="F34" s="10" t="inlineStr">
        <is>
          <t>South</t>
        </is>
      </c>
      <c r="G34" s="10" t="n">
        <v>4</v>
      </c>
      <c r="H34" s="11" t="n">
        <v>1424.05</v>
      </c>
      <c r="I34" s="11" t="n">
        <v>850</v>
      </c>
      <c r="J34" s="11">
        <f>G34*H34</f>
        <v/>
      </c>
      <c r="K34" s="11">
        <f>G34*I34</f>
        <v/>
      </c>
      <c r="L34" s="11">
        <f>J34-K34</f>
        <v/>
      </c>
      <c r="M34" s="12">
        <f>(L34/J34)</f>
        <v/>
      </c>
    </row>
    <row r="35">
      <c r="A35" s="10" t="inlineStr">
        <is>
          <t>ORD-2024176</t>
        </is>
      </c>
      <c r="B35" s="10" t="inlineStr">
        <is>
          <t>2024-02-08</t>
        </is>
      </c>
      <c r="C35" s="10" t="inlineStr">
        <is>
          <t>P103</t>
        </is>
      </c>
      <c r="D35" s="10" t="inlineStr">
        <is>
          <t>Mechanical Keyboard</t>
        </is>
      </c>
      <c r="E35" s="10" t="inlineStr">
        <is>
          <t>Electronics</t>
        </is>
      </c>
      <c r="F35" s="10" t="inlineStr">
        <is>
          <t>North</t>
        </is>
      </c>
      <c r="G35" s="10" t="n">
        <v>4</v>
      </c>
      <c r="H35" s="11" t="n">
        <v>2744</v>
      </c>
      <c r="I35" s="11" t="n">
        <v>1850</v>
      </c>
      <c r="J35" s="11">
        <f>G35*H35</f>
        <v/>
      </c>
      <c r="K35" s="11">
        <f>G35*I35</f>
        <v/>
      </c>
      <c r="L35" s="11">
        <f>J35-K35</f>
        <v/>
      </c>
      <c r="M35" s="12">
        <f>(L35/J35)</f>
        <v/>
      </c>
    </row>
    <row r="36">
      <c r="A36" s="10" t="inlineStr">
        <is>
          <t>ORD-2024116</t>
        </is>
      </c>
      <c r="B36" s="10" t="inlineStr">
        <is>
          <t>2024-02-09</t>
        </is>
      </c>
      <c r="C36" s="10" t="inlineStr">
        <is>
          <t>P112</t>
        </is>
      </c>
      <c r="D36" s="10" t="inlineStr">
        <is>
          <t>USB-C Multiport Hub</t>
        </is>
      </c>
      <c r="E36" s="10" t="inlineStr">
        <is>
          <t>Accessories</t>
        </is>
      </c>
      <c r="F36" s="10" t="inlineStr">
        <is>
          <t>South</t>
        </is>
      </c>
      <c r="G36" s="10" t="n">
        <v>5</v>
      </c>
      <c r="H36" s="11" t="n">
        <v>1999</v>
      </c>
      <c r="I36" s="11" t="n">
        <v>1150</v>
      </c>
      <c r="J36" s="11">
        <f>G36*H36</f>
        <v/>
      </c>
      <c r="K36" s="11">
        <f>G36*I36</f>
        <v/>
      </c>
      <c r="L36" s="11">
        <f>J36-K36</f>
        <v/>
      </c>
      <c r="M36" s="12">
        <f>(L36/J36)</f>
        <v/>
      </c>
    </row>
    <row r="37">
      <c r="A37" s="10" t="inlineStr">
        <is>
          <t>ORD-2024010</t>
        </is>
      </c>
      <c r="B37" s="10" t="inlineStr">
        <is>
          <t>2024-02-10</t>
        </is>
      </c>
      <c r="C37" s="10" t="inlineStr">
        <is>
          <t>P109</t>
        </is>
      </c>
      <c r="D37" s="10" t="inlineStr">
        <is>
          <t>Gel Pen Pack (10x)</t>
        </is>
      </c>
      <c r="E37" s="10" t="inlineStr">
        <is>
          <t>Office Supplies</t>
        </is>
      </c>
      <c r="F37" s="10" t="inlineStr">
        <is>
          <t>South</t>
        </is>
      </c>
      <c r="G37" s="10" t="n">
        <v>11</v>
      </c>
      <c r="H37" s="11" t="n">
        <v>235.2</v>
      </c>
      <c r="I37" s="11" t="n">
        <v>110</v>
      </c>
      <c r="J37" s="11">
        <f>G37*H37</f>
        <v/>
      </c>
      <c r="K37" s="11">
        <f>G37*I37</f>
        <v/>
      </c>
      <c r="L37" s="11">
        <f>J37-K37</f>
        <v/>
      </c>
      <c r="M37" s="12">
        <f>(L37/J37)</f>
        <v/>
      </c>
    </row>
    <row r="38">
      <c r="A38" s="10" t="inlineStr">
        <is>
          <t>ORD-2024061</t>
        </is>
      </c>
      <c r="B38" s="10" t="inlineStr">
        <is>
          <t>2024-02-11</t>
        </is>
      </c>
      <c r="C38" s="10" t="inlineStr">
        <is>
          <t>P107</t>
        </is>
      </c>
      <c r="D38" s="10" t="inlineStr">
        <is>
          <t>Bookshelf Cabinet</t>
        </is>
      </c>
      <c r="E38" s="10" t="inlineStr">
        <is>
          <t>Furniture</t>
        </is>
      </c>
      <c r="F38" s="10" t="inlineStr">
        <is>
          <t>East</t>
        </is>
      </c>
      <c r="G38" s="10" t="n">
        <v>3</v>
      </c>
      <c r="H38" s="11" t="n">
        <v>5950</v>
      </c>
      <c r="I38" s="11" t="n">
        <v>4100</v>
      </c>
      <c r="J38" s="11">
        <f>G38*H38</f>
        <v/>
      </c>
      <c r="K38" s="11">
        <f>G38*I38</f>
        <v/>
      </c>
      <c r="L38" s="11">
        <f>J38-K38</f>
        <v/>
      </c>
      <c r="M38" s="12">
        <f>(L38/J38)</f>
        <v/>
      </c>
    </row>
    <row r="39">
      <c r="A39" s="10" t="inlineStr">
        <is>
          <t>ORD-2024131</t>
        </is>
      </c>
      <c r="B39" s="10" t="inlineStr">
        <is>
          <t>2024-02-11</t>
        </is>
      </c>
      <c r="C39" s="10" t="inlineStr">
        <is>
          <t>P108</t>
        </is>
      </c>
      <c r="D39" s="10" t="inlineStr">
        <is>
          <t>Executive Desk Lamp</t>
        </is>
      </c>
      <c r="E39" s="10" t="inlineStr">
        <is>
          <t>Furniture</t>
        </is>
      </c>
      <c r="F39" s="10" t="inlineStr">
        <is>
          <t>North</t>
        </is>
      </c>
      <c r="G39" s="10" t="n">
        <v>1</v>
      </c>
      <c r="H39" s="11" t="n">
        <v>1499</v>
      </c>
      <c r="I39" s="11" t="n">
        <v>850</v>
      </c>
      <c r="J39" s="11">
        <f>G39*H39</f>
        <v/>
      </c>
      <c r="K39" s="11">
        <f>G39*I39</f>
        <v/>
      </c>
      <c r="L39" s="11">
        <f>J39-K39</f>
        <v/>
      </c>
      <c r="M39" s="12">
        <f>(L39/J39)</f>
        <v/>
      </c>
    </row>
    <row r="40">
      <c r="A40" s="10" t="inlineStr">
        <is>
          <t>ORD-2024184</t>
        </is>
      </c>
      <c r="B40" s="10" t="inlineStr">
        <is>
          <t>2024-02-11</t>
        </is>
      </c>
      <c r="C40" s="10" t="inlineStr">
        <is>
          <t>P110</t>
        </is>
      </c>
      <c r="D40" s="10" t="inlineStr">
        <is>
          <t>A4 Copier Paper (500s)</t>
        </is>
      </c>
      <c r="E40" s="10" t="inlineStr">
        <is>
          <t>Office Supplies</t>
        </is>
      </c>
      <c r="F40" s="10" t="inlineStr">
        <is>
          <t>North</t>
        </is>
      </c>
      <c r="G40" s="10" t="n">
        <v>7</v>
      </c>
      <c r="H40" s="11" t="n">
        <v>320</v>
      </c>
      <c r="I40" s="11" t="n">
        <v>190</v>
      </c>
      <c r="J40" s="11">
        <f>G40*H40</f>
        <v/>
      </c>
      <c r="K40" s="11">
        <f>G40*I40</f>
        <v/>
      </c>
      <c r="L40" s="11">
        <f>J40-K40</f>
        <v/>
      </c>
      <c r="M40" s="12">
        <f>(L40/J40)</f>
        <v/>
      </c>
    </row>
    <row r="41">
      <c r="A41" s="10" t="inlineStr">
        <is>
          <t>ORD-2024279</t>
        </is>
      </c>
      <c r="B41" s="10" t="inlineStr">
        <is>
          <t>2024-02-13</t>
        </is>
      </c>
      <c r="C41" s="10" t="inlineStr">
        <is>
          <t>P102</t>
        </is>
      </c>
      <c r="D41" s="10" t="inlineStr">
        <is>
          <t>Wireless Mouse</t>
        </is>
      </c>
      <c r="E41" s="10" t="inlineStr">
        <is>
          <t>Electronics</t>
        </is>
      </c>
      <c r="F41" s="10" t="inlineStr">
        <is>
          <t>South</t>
        </is>
      </c>
      <c r="G41" s="10" t="n">
        <v>6</v>
      </c>
      <c r="H41" s="11" t="n">
        <v>750</v>
      </c>
      <c r="I41" s="11" t="n">
        <v>420</v>
      </c>
      <c r="J41" s="11">
        <f>G41*H41</f>
        <v/>
      </c>
      <c r="K41" s="11">
        <f>G41*I41</f>
        <v/>
      </c>
      <c r="L41" s="11">
        <f>J41-K41</f>
        <v/>
      </c>
      <c r="M41" s="12">
        <f>(L41/J41)</f>
        <v/>
      </c>
    </row>
    <row r="42">
      <c r="A42" s="10" t="inlineStr">
        <is>
          <t>ORD-2024257</t>
        </is>
      </c>
      <c r="B42" s="10" t="inlineStr">
        <is>
          <t>2024-02-16</t>
        </is>
      </c>
      <c r="C42" s="10" t="inlineStr">
        <is>
          <t>P111</t>
        </is>
      </c>
      <c r="D42" s="10" t="inlineStr">
        <is>
          <t>Desk Organizer Tray</t>
        </is>
      </c>
      <c r="E42" s="10" t="inlineStr">
        <is>
          <t>Office Supplies</t>
        </is>
      </c>
      <c r="F42" s="10" t="inlineStr">
        <is>
          <t>North</t>
        </is>
      </c>
      <c r="G42" s="10" t="n">
        <v>11</v>
      </c>
      <c r="H42" s="11" t="n">
        <v>470.4</v>
      </c>
      <c r="I42" s="11" t="n">
        <v>260</v>
      </c>
      <c r="J42" s="11">
        <f>G42*H42</f>
        <v/>
      </c>
      <c r="K42" s="11">
        <f>G42*I42</f>
        <v/>
      </c>
      <c r="L42" s="11">
        <f>J42-K42</f>
        <v/>
      </c>
      <c r="M42" s="12">
        <f>(L42/J42)</f>
        <v/>
      </c>
    </row>
    <row r="43">
      <c r="A43" s="10" t="inlineStr">
        <is>
          <t>ORD-2024045</t>
        </is>
      </c>
      <c r="B43" s="10" t="inlineStr">
        <is>
          <t>2024-02-18</t>
        </is>
      </c>
      <c r="C43" s="10" t="inlineStr">
        <is>
          <t>P102</t>
        </is>
      </c>
      <c r="D43" s="10" t="inlineStr">
        <is>
          <t>Wireless Mouse</t>
        </is>
      </c>
      <c r="E43" s="10" t="inlineStr">
        <is>
          <t>Electronics</t>
        </is>
      </c>
      <c r="F43" s="10" t="inlineStr">
        <is>
          <t>East</t>
        </is>
      </c>
      <c r="G43" s="10" t="n">
        <v>6</v>
      </c>
      <c r="H43" s="11" t="n">
        <v>712.5</v>
      </c>
      <c r="I43" s="11" t="n">
        <v>420</v>
      </c>
      <c r="J43" s="11">
        <f>G43*H43</f>
        <v/>
      </c>
      <c r="K43" s="11">
        <f>G43*I43</f>
        <v/>
      </c>
      <c r="L43" s="11">
        <f>J43-K43</f>
        <v/>
      </c>
      <c r="M43" s="12">
        <f>(L43/J43)</f>
        <v/>
      </c>
    </row>
    <row r="44">
      <c r="A44" s="10" t="inlineStr">
        <is>
          <t>ORD-2024250</t>
        </is>
      </c>
      <c r="B44" s="10" t="inlineStr">
        <is>
          <t>2024-02-19</t>
        </is>
      </c>
      <c r="C44" s="10" t="inlineStr">
        <is>
          <t>P104</t>
        </is>
      </c>
      <c r="D44" s="10" t="inlineStr">
        <is>
          <t>Noise-Cancelling Headphones</t>
        </is>
      </c>
      <c r="E44" s="10" t="inlineStr">
        <is>
          <t>Electronics</t>
        </is>
      </c>
      <c r="F44" s="10" t="inlineStr">
        <is>
          <t>West</t>
        </is>
      </c>
      <c r="G44" s="10" t="n">
        <v>2</v>
      </c>
      <c r="H44" s="11" t="n">
        <v>5699.05</v>
      </c>
      <c r="I44" s="11" t="n">
        <v>3600</v>
      </c>
      <c r="J44" s="11">
        <f>G44*H44</f>
        <v/>
      </c>
      <c r="K44" s="11">
        <f>G44*I44</f>
        <v/>
      </c>
      <c r="L44" s="11">
        <f>J44-K44</f>
        <v/>
      </c>
      <c r="M44" s="12">
        <f>(L44/J44)</f>
        <v/>
      </c>
    </row>
    <row r="45">
      <c r="A45" s="10" t="inlineStr">
        <is>
          <t>ORD-2024008</t>
        </is>
      </c>
      <c r="B45" s="10" t="inlineStr">
        <is>
          <t>2024-02-19</t>
        </is>
      </c>
      <c r="C45" s="10" t="inlineStr">
        <is>
          <t>P106</t>
        </is>
      </c>
      <c r="D45" s="10" t="inlineStr">
        <is>
          <t>Standing Desk</t>
        </is>
      </c>
      <c r="E45" s="10" t="inlineStr">
        <is>
          <t>Furniture</t>
        </is>
      </c>
      <c r="F45" s="10" t="inlineStr">
        <is>
          <t>West</t>
        </is>
      </c>
      <c r="G45" s="10" t="n">
        <v>3</v>
      </c>
      <c r="H45" s="11" t="n">
        <v>18500</v>
      </c>
      <c r="I45" s="11" t="n">
        <v>12500</v>
      </c>
      <c r="J45" s="11">
        <f>G45*H45</f>
        <v/>
      </c>
      <c r="K45" s="11">
        <f>G45*I45</f>
        <v/>
      </c>
      <c r="L45" s="11">
        <f>J45-K45</f>
        <v/>
      </c>
      <c r="M45" s="12">
        <f>(L45/J45)</f>
        <v/>
      </c>
    </row>
    <row r="46">
      <c r="A46" s="10" t="inlineStr">
        <is>
          <t>ORD-2024174</t>
        </is>
      </c>
      <c r="B46" s="10" t="inlineStr">
        <is>
          <t>2024-02-20</t>
        </is>
      </c>
      <c r="C46" s="10" t="inlineStr">
        <is>
          <t>P113</t>
        </is>
      </c>
      <c r="D46" s="10" t="inlineStr">
        <is>
          <t>Laptop Backpack</t>
        </is>
      </c>
      <c r="E46" s="10" t="inlineStr">
        <is>
          <t>Accessories</t>
        </is>
      </c>
      <c r="F46" s="10" t="inlineStr">
        <is>
          <t>North</t>
        </is>
      </c>
      <c r="G46" s="10" t="n">
        <v>4</v>
      </c>
      <c r="H46" s="11" t="n">
        <v>1599</v>
      </c>
      <c r="I46" s="11" t="n">
        <v>820</v>
      </c>
      <c r="J46" s="11">
        <f>G46*H46</f>
        <v/>
      </c>
      <c r="K46" s="11">
        <f>G46*I46</f>
        <v/>
      </c>
      <c r="L46" s="11">
        <f>J46-K46</f>
        <v/>
      </c>
      <c r="M46" s="12">
        <f>(L46/J46)</f>
        <v/>
      </c>
    </row>
    <row r="47">
      <c r="A47" s="10" t="inlineStr">
        <is>
          <t>ORD-2024013</t>
        </is>
      </c>
      <c r="B47" s="10" t="inlineStr">
        <is>
          <t>2024-02-21</t>
        </is>
      </c>
      <c r="C47" s="10" t="inlineStr">
        <is>
          <t>P107</t>
        </is>
      </c>
      <c r="D47" s="10" t="inlineStr">
        <is>
          <t>Bookshelf Cabinet</t>
        </is>
      </c>
      <c r="E47" s="10" t="inlineStr">
        <is>
          <t>Furniture</t>
        </is>
      </c>
      <c r="F47" s="10" t="inlineStr">
        <is>
          <t>North</t>
        </is>
      </c>
      <c r="G47" s="10" t="n">
        <v>3</v>
      </c>
      <c r="H47" s="11" t="n">
        <v>5950</v>
      </c>
      <c r="I47" s="11" t="n">
        <v>4100</v>
      </c>
      <c r="J47" s="11">
        <f>G47*H47</f>
        <v/>
      </c>
      <c r="K47" s="11">
        <f>G47*I47</f>
        <v/>
      </c>
      <c r="L47" s="11">
        <f>J47-K47</f>
        <v/>
      </c>
      <c r="M47" s="12">
        <f>(L47/J47)</f>
        <v/>
      </c>
    </row>
    <row r="48">
      <c r="A48" s="10" t="inlineStr">
        <is>
          <t>ORD-2024165</t>
        </is>
      </c>
      <c r="B48" s="10" t="inlineStr">
        <is>
          <t>2024-02-22</t>
        </is>
      </c>
      <c r="C48" s="10" t="inlineStr">
        <is>
          <t>P114</t>
        </is>
      </c>
      <c r="D48" s="10" t="inlineStr">
        <is>
          <t>Webcam 1080p HD</t>
        </is>
      </c>
      <c r="E48" s="10" t="inlineStr">
        <is>
          <t>Accessories</t>
        </is>
      </c>
      <c r="F48" s="10" t="inlineStr">
        <is>
          <t>North</t>
        </is>
      </c>
      <c r="G48" s="10" t="n">
        <v>5</v>
      </c>
      <c r="H48" s="11" t="n">
        <v>2327.5</v>
      </c>
      <c r="I48" s="11" t="n">
        <v>1450</v>
      </c>
      <c r="J48" s="11">
        <f>G48*H48</f>
        <v/>
      </c>
      <c r="K48" s="11">
        <f>G48*I48</f>
        <v/>
      </c>
      <c r="L48" s="11">
        <f>J48-K48</f>
        <v/>
      </c>
      <c r="M48" s="12">
        <f>(L48/J48)</f>
        <v/>
      </c>
    </row>
    <row r="49">
      <c r="A49" s="10" t="inlineStr">
        <is>
          <t>ORD-2024230</t>
        </is>
      </c>
      <c r="B49" s="10" t="inlineStr">
        <is>
          <t>2024-02-24</t>
        </is>
      </c>
      <c r="C49" s="10" t="inlineStr">
        <is>
          <t>P104</t>
        </is>
      </c>
      <c r="D49" s="10" t="inlineStr">
        <is>
          <t>Noise-Cancelling Headphones</t>
        </is>
      </c>
      <c r="E49" s="10" t="inlineStr">
        <is>
          <t>Electronics</t>
        </is>
      </c>
      <c r="F49" s="10" t="inlineStr">
        <is>
          <t>South</t>
        </is>
      </c>
      <c r="G49" s="10" t="n">
        <v>3</v>
      </c>
      <c r="H49" s="11" t="n">
        <v>5879.02</v>
      </c>
      <c r="I49" s="11" t="n">
        <v>3600</v>
      </c>
      <c r="J49" s="11">
        <f>G49*H49</f>
        <v/>
      </c>
      <c r="K49" s="11">
        <f>G49*I49</f>
        <v/>
      </c>
      <c r="L49" s="11">
        <f>J49-K49</f>
        <v/>
      </c>
      <c r="M49" s="12">
        <f>(L49/J49)</f>
        <v/>
      </c>
    </row>
    <row r="50">
      <c r="A50" s="10" t="inlineStr">
        <is>
          <t>ORD-2024284</t>
        </is>
      </c>
      <c r="B50" s="10" t="inlineStr">
        <is>
          <t>2024-02-25</t>
        </is>
      </c>
      <c r="C50" s="10" t="inlineStr">
        <is>
          <t>P106</t>
        </is>
      </c>
      <c r="D50" s="10" t="inlineStr">
        <is>
          <t>Standing Desk</t>
        </is>
      </c>
      <c r="E50" s="10" t="inlineStr">
        <is>
          <t>Furniture</t>
        </is>
      </c>
      <c r="F50" s="10" t="inlineStr">
        <is>
          <t>West</t>
        </is>
      </c>
      <c r="G50" s="10" t="n">
        <v>3</v>
      </c>
      <c r="H50" s="11" t="n">
        <v>18500</v>
      </c>
      <c r="I50" s="11" t="n">
        <v>12500</v>
      </c>
      <c r="J50" s="11">
        <f>G50*H50</f>
        <v/>
      </c>
      <c r="K50" s="11">
        <f>G50*I50</f>
        <v/>
      </c>
      <c r="L50" s="11">
        <f>J50-K50</f>
        <v/>
      </c>
      <c r="M50" s="12">
        <f>(L50/J50)</f>
        <v/>
      </c>
    </row>
    <row r="51">
      <c r="A51" s="10" t="inlineStr">
        <is>
          <t>ORD-2024077</t>
        </is>
      </c>
      <c r="B51" s="10" t="inlineStr">
        <is>
          <t>2024-02-27</t>
        </is>
      </c>
      <c r="C51" s="10" t="inlineStr">
        <is>
          <t>P102</t>
        </is>
      </c>
      <c r="D51" s="10" t="inlineStr">
        <is>
          <t>Wireless Mouse</t>
        </is>
      </c>
      <c r="E51" s="10" t="inlineStr">
        <is>
          <t>Electronics</t>
        </is>
      </c>
      <c r="F51" s="10" t="inlineStr">
        <is>
          <t>Central</t>
        </is>
      </c>
      <c r="G51" s="10" t="n">
        <v>3</v>
      </c>
      <c r="H51" s="11" t="n">
        <v>735</v>
      </c>
      <c r="I51" s="11" t="n">
        <v>420</v>
      </c>
      <c r="J51" s="11">
        <f>G51*H51</f>
        <v/>
      </c>
      <c r="K51" s="11">
        <f>G51*I51</f>
        <v/>
      </c>
      <c r="L51" s="11">
        <f>J51-K51</f>
        <v/>
      </c>
      <c r="M51" s="12">
        <f>(L51/J51)</f>
        <v/>
      </c>
    </row>
    <row r="52">
      <c r="A52" s="10" t="inlineStr">
        <is>
          <t>ORD-2024027</t>
        </is>
      </c>
      <c r="B52" s="10" t="inlineStr">
        <is>
          <t>2024-02-27</t>
        </is>
      </c>
      <c r="C52" s="10" t="inlineStr">
        <is>
          <t>P105</t>
        </is>
      </c>
      <c r="D52" s="10" t="inlineStr">
        <is>
          <t>Ergonomic Office Chair</t>
        </is>
      </c>
      <c r="E52" s="10" t="inlineStr">
        <is>
          <t>Furniture</t>
        </is>
      </c>
      <c r="F52" s="10" t="inlineStr">
        <is>
          <t>South</t>
        </is>
      </c>
      <c r="G52" s="10" t="n">
        <v>4</v>
      </c>
      <c r="H52" s="11" t="n">
        <v>9999</v>
      </c>
      <c r="I52" s="11" t="n">
        <v>6800</v>
      </c>
      <c r="J52" s="11">
        <f>G52*H52</f>
        <v/>
      </c>
      <c r="K52" s="11">
        <f>G52*I52</f>
        <v/>
      </c>
      <c r="L52" s="11">
        <f>J52-K52</f>
        <v/>
      </c>
      <c r="M52" s="12">
        <f>(L52/J52)</f>
        <v/>
      </c>
    </row>
    <row r="53">
      <c r="A53" s="10" t="inlineStr">
        <is>
          <t>ORD-2024200</t>
        </is>
      </c>
      <c r="B53" s="10" t="inlineStr">
        <is>
          <t>2024-03-01</t>
        </is>
      </c>
      <c r="C53" s="10" t="inlineStr">
        <is>
          <t>P111</t>
        </is>
      </c>
      <c r="D53" s="10" t="inlineStr">
        <is>
          <t>Desk Organizer Tray</t>
        </is>
      </c>
      <c r="E53" s="10" t="inlineStr">
        <is>
          <t>Office Supplies</t>
        </is>
      </c>
      <c r="F53" s="10" t="inlineStr">
        <is>
          <t>West</t>
        </is>
      </c>
      <c r="G53" s="10" t="n">
        <v>8</v>
      </c>
      <c r="H53" s="11" t="n">
        <v>480</v>
      </c>
      <c r="I53" s="11" t="n">
        <v>260</v>
      </c>
      <c r="J53" s="11">
        <f>G53*H53</f>
        <v/>
      </c>
      <c r="K53" s="11">
        <f>G53*I53</f>
        <v/>
      </c>
      <c r="L53" s="11">
        <f>J53-K53</f>
        <v/>
      </c>
      <c r="M53" s="12">
        <f>(L53/J53)</f>
        <v/>
      </c>
    </row>
    <row r="54">
      <c r="A54" s="10" t="inlineStr">
        <is>
          <t>ORD-2024141</t>
        </is>
      </c>
      <c r="B54" s="10" t="inlineStr">
        <is>
          <t>2024-03-02</t>
        </is>
      </c>
      <c r="C54" s="10" t="inlineStr">
        <is>
          <t>P113</t>
        </is>
      </c>
      <c r="D54" s="10" t="inlineStr">
        <is>
          <t>Laptop Backpack</t>
        </is>
      </c>
      <c r="E54" s="10" t="inlineStr">
        <is>
          <t>Accessories</t>
        </is>
      </c>
      <c r="F54" s="10" t="inlineStr">
        <is>
          <t>Central</t>
        </is>
      </c>
      <c r="G54" s="10" t="n">
        <v>13</v>
      </c>
      <c r="H54" s="11" t="n">
        <v>1599</v>
      </c>
      <c r="I54" s="11" t="n">
        <v>820</v>
      </c>
      <c r="J54" s="11">
        <f>G54*H54</f>
        <v/>
      </c>
      <c r="K54" s="11">
        <f>G54*I54</f>
        <v/>
      </c>
      <c r="L54" s="11">
        <f>J54-K54</f>
        <v/>
      </c>
      <c r="M54" s="12">
        <f>(L54/J54)</f>
        <v/>
      </c>
    </row>
    <row r="55">
      <c r="A55" s="10" t="inlineStr">
        <is>
          <t>ORD-2024159</t>
        </is>
      </c>
      <c r="B55" s="10" t="inlineStr">
        <is>
          <t>2024-03-02</t>
        </is>
      </c>
      <c r="C55" s="10" t="inlineStr">
        <is>
          <t>P112</t>
        </is>
      </c>
      <c r="D55" s="10" t="inlineStr">
        <is>
          <t>USB-C Multiport Hub</t>
        </is>
      </c>
      <c r="E55" s="10" t="inlineStr">
        <is>
          <t>Accessories</t>
        </is>
      </c>
      <c r="F55" s="10" t="inlineStr">
        <is>
          <t>East</t>
        </is>
      </c>
      <c r="G55" s="10" t="n">
        <v>13</v>
      </c>
      <c r="H55" s="11" t="n">
        <v>1999</v>
      </c>
      <c r="I55" s="11" t="n">
        <v>1150</v>
      </c>
      <c r="J55" s="11">
        <f>G55*H55</f>
        <v/>
      </c>
      <c r="K55" s="11">
        <f>G55*I55</f>
        <v/>
      </c>
      <c r="L55" s="11">
        <f>J55-K55</f>
        <v/>
      </c>
      <c r="M55" s="12">
        <f>(L55/J55)</f>
        <v/>
      </c>
    </row>
    <row r="56">
      <c r="A56" s="10" t="inlineStr">
        <is>
          <t>ORD-2024043</t>
        </is>
      </c>
      <c r="B56" s="10" t="inlineStr">
        <is>
          <t>2024-03-08</t>
        </is>
      </c>
      <c r="C56" s="10" t="inlineStr">
        <is>
          <t>P112</t>
        </is>
      </c>
      <c r="D56" s="10" t="inlineStr">
        <is>
          <t>USB-C Multiport Hub</t>
        </is>
      </c>
      <c r="E56" s="10" t="inlineStr">
        <is>
          <t>Accessories</t>
        </is>
      </c>
      <c r="F56" s="10" t="inlineStr">
        <is>
          <t>Central</t>
        </is>
      </c>
      <c r="G56" s="10" t="n">
        <v>10</v>
      </c>
      <c r="H56" s="11" t="n">
        <v>1959.02</v>
      </c>
      <c r="I56" s="11" t="n">
        <v>1150</v>
      </c>
      <c r="J56" s="11">
        <f>G56*H56</f>
        <v/>
      </c>
      <c r="K56" s="11">
        <f>G56*I56</f>
        <v/>
      </c>
      <c r="L56" s="11">
        <f>J56-K56</f>
        <v/>
      </c>
      <c r="M56" s="12">
        <f>(L56/J56)</f>
        <v/>
      </c>
    </row>
    <row r="57">
      <c r="A57" s="10" t="inlineStr">
        <is>
          <t>ORD-2024263</t>
        </is>
      </c>
      <c r="B57" s="10" t="inlineStr">
        <is>
          <t>2024-03-08</t>
        </is>
      </c>
      <c r="C57" s="10" t="inlineStr">
        <is>
          <t>P101</t>
        </is>
      </c>
      <c r="D57" s="10" t="inlineStr">
        <is>
          <t>Laptop Pro 15</t>
        </is>
      </c>
      <c r="E57" s="10" t="inlineStr">
        <is>
          <t>Electronics</t>
        </is>
      </c>
      <c r="F57" s="10" t="inlineStr">
        <is>
          <t>South</t>
        </is>
      </c>
      <c r="G57" s="10" t="n">
        <v>2</v>
      </c>
      <c r="H57" s="11" t="n">
        <v>53900</v>
      </c>
      <c r="I57" s="11" t="n">
        <v>45000</v>
      </c>
      <c r="J57" s="11">
        <f>G57*H57</f>
        <v/>
      </c>
      <c r="K57" s="11">
        <f>G57*I57</f>
        <v/>
      </c>
      <c r="L57" s="11">
        <f>J57-K57</f>
        <v/>
      </c>
      <c r="M57" s="12">
        <f>(L57/J57)</f>
        <v/>
      </c>
    </row>
    <row r="58">
      <c r="A58" s="10" t="inlineStr">
        <is>
          <t>ORD-2024239</t>
        </is>
      </c>
      <c r="B58" s="10" t="inlineStr">
        <is>
          <t>2024-03-08</t>
        </is>
      </c>
      <c r="C58" s="10" t="inlineStr">
        <is>
          <t>P113</t>
        </is>
      </c>
      <c r="D58" s="10" t="inlineStr">
        <is>
          <t>Laptop Backpack</t>
        </is>
      </c>
      <c r="E58" s="10" t="inlineStr">
        <is>
          <t>Accessories</t>
        </is>
      </c>
      <c r="F58" s="10" t="inlineStr">
        <is>
          <t>East</t>
        </is>
      </c>
      <c r="G58" s="10" t="n">
        <v>6</v>
      </c>
      <c r="H58" s="11" t="n">
        <v>1567.02</v>
      </c>
      <c r="I58" s="11" t="n">
        <v>820</v>
      </c>
      <c r="J58" s="11">
        <f>G58*H58</f>
        <v/>
      </c>
      <c r="K58" s="11">
        <f>G58*I58</f>
        <v/>
      </c>
      <c r="L58" s="11">
        <f>J58-K58</f>
        <v/>
      </c>
      <c r="M58" s="12">
        <f>(L58/J58)</f>
        <v/>
      </c>
    </row>
    <row r="59">
      <c r="A59" s="10" t="inlineStr">
        <is>
          <t>ORD-2024111</t>
        </is>
      </c>
      <c r="B59" s="10" t="inlineStr">
        <is>
          <t>2024-03-09</t>
        </is>
      </c>
      <c r="C59" s="10" t="inlineStr">
        <is>
          <t>P113</t>
        </is>
      </c>
      <c r="D59" s="10" t="inlineStr">
        <is>
          <t>Laptop Backpack</t>
        </is>
      </c>
      <c r="E59" s="10" t="inlineStr">
        <is>
          <t>Accessories</t>
        </is>
      </c>
      <c r="F59" s="10" t="inlineStr">
        <is>
          <t>South</t>
        </is>
      </c>
      <c r="G59" s="10" t="n">
        <v>9</v>
      </c>
      <c r="H59" s="11" t="n">
        <v>1567.02</v>
      </c>
      <c r="I59" s="11" t="n">
        <v>820</v>
      </c>
      <c r="J59" s="11">
        <f>G59*H59</f>
        <v/>
      </c>
      <c r="K59" s="11">
        <f>G59*I59</f>
        <v/>
      </c>
      <c r="L59" s="11">
        <f>J59-K59</f>
        <v/>
      </c>
      <c r="M59" s="12">
        <f>(L59/J59)</f>
        <v/>
      </c>
    </row>
    <row r="60">
      <c r="A60" s="10" t="inlineStr">
        <is>
          <t>ORD-2024070</t>
        </is>
      </c>
      <c r="B60" s="10" t="inlineStr">
        <is>
          <t>2024-03-09</t>
        </is>
      </c>
      <c r="C60" s="10" t="inlineStr">
        <is>
          <t>P105</t>
        </is>
      </c>
      <c r="D60" s="10" t="inlineStr">
        <is>
          <t>Ergonomic Office Chair</t>
        </is>
      </c>
      <c r="E60" s="10" t="inlineStr">
        <is>
          <t>Furniture</t>
        </is>
      </c>
      <c r="F60" s="10" t="inlineStr">
        <is>
          <t>North</t>
        </is>
      </c>
      <c r="G60" s="10" t="n">
        <v>1</v>
      </c>
      <c r="H60" s="11" t="n">
        <v>9799.02</v>
      </c>
      <c r="I60" s="11" t="n">
        <v>6800</v>
      </c>
      <c r="J60" s="11">
        <f>G60*H60</f>
        <v/>
      </c>
      <c r="K60" s="11">
        <f>G60*I60</f>
        <v/>
      </c>
      <c r="L60" s="11">
        <f>J60-K60</f>
        <v/>
      </c>
      <c r="M60" s="12">
        <f>(L60/J60)</f>
        <v/>
      </c>
    </row>
    <row r="61">
      <c r="A61" s="10" t="inlineStr">
        <is>
          <t>ORD-2024128</t>
        </is>
      </c>
      <c r="B61" s="10" t="inlineStr">
        <is>
          <t>2024-03-10</t>
        </is>
      </c>
      <c r="C61" s="10" t="inlineStr">
        <is>
          <t>P114</t>
        </is>
      </c>
      <c r="D61" s="10" t="inlineStr">
        <is>
          <t>Webcam 1080p HD</t>
        </is>
      </c>
      <c r="E61" s="10" t="inlineStr">
        <is>
          <t>Accessories</t>
        </is>
      </c>
      <c r="F61" s="10" t="inlineStr">
        <is>
          <t>South</t>
        </is>
      </c>
      <c r="G61" s="10" t="n">
        <v>1</v>
      </c>
      <c r="H61" s="11" t="n">
        <v>2450</v>
      </c>
      <c r="I61" s="11" t="n">
        <v>1450</v>
      </c>
      <c r="J61" s="11">
        <f>G61*H61</f>
        <v/>
      </c>
      <c r="K61" s="11">
        <f>G61*I61</f>
        <v/>
      </c>
      <c r="L61" s="11">
        <f>J61-K61</f>
        <v/>
      </c>
      <c r="M61" s="12">
        <f>(L61/J61)</f>
        <v/>
      </c>
    </row>
    <row r="62">
      <c r="A62" s="10" t="inlineStr">
        <is>
          <t>ORD-2024181</t>
        </is>
      </c>
      <c r="B62" s="10" t="inlineStr">
        <is>
          <t>2024-03-13</t>
        </is>
      </c>
      <c r="C62" s="10" t="inlineStr">
        <is>
          <t>P102</t>
        </is>
      </c>
      <c r="D62" s="10" t="inlineStr">
        <is>
          <t>Wireless Mouse</t>
        </is>
      </c>
      <c r="E62" s="10" t="inlineStr">
        <is>
          <t>Electronics</t>
        </is>
      </c>
      <c r="F62" s="10" t="inlineStr">
        <is>
          <t>North</t>
        </is>
      </c>
      <c r="G62" s="10" t="n">
        <v>5</v>
      </c>
      <c r="H62" s="11" t="n">
        <v>735</v>
      </c>
      <c r="I62" s="11" t="n">
        <v>420</v>
      </c>
      <c r="J62" s="11">
        <f>G62*H62</f>
        <v/>
      </c>
      <c r="K62" s="11">
        <f>G62*I62</f>
        <v/>
      </c>
      <c r="L62" s="11">
        <f>J62-K62</f>
        <v/>
      </c>
      <c r="M62" s="12">
        <f>(L62/J62)</f>
        <v/>
      </c>
    </row>
    <row r="63">
      <c r="A63" s="10" t="inlineStr">
        <is>
          <t>ORD-2024214</t>
        </is>
      </c>
      <c r="B63" s="10" t="inlineStr">
        <is>
          <t>2024-03-14</t>
        </is>
      </c>
      <c r="C63" s="10" t="inlineStr">
        <is>
          <t>P107</t>
        </is>
      </c>
      <c r="D63" s="10" t="inlineStr">
        <is>
          <t>Bookshelf Cabinet</t>
        </is>
      </c>
      <c r="E63" s="10" t="inlineStr">
        <is>
          <t>Furniture</t>
        </is>
      </c>
      <c r="F63" s="10" t="inlineStr">
        <is>
          <t>West</t>
        </is>
      </c>
      <c r="G63" s="10" t="n">
        <v>2</v>
      </c>
      <c r="H63" s="11" t="n">
        <v>5950</v>
      </c>
      <c r="I63" s="11" t="n">
        <v>4100</v>
      </c>
      <c r="J63" s="11">
        <f>G63*H63</f>
        <v/>
      </c>
      <c r="K63" s="11">
        <f>G63*I63</f>
        <v/>
      </c>
      <c r="L63" s="11">
        <f>J63-K63</f>
        <v/>
      </c>
      <c r="M63" s="12">
        <f>(L63/J63)</f>
        <v/>
      </c>
    </row>
    <row r="64">
      <c r="A64" s="10" t="inlineStr">
        <is>
          <t>ORD-2024106</t>
        </is>
      </c>
      <c r="B64" s="10" t="inlineStr">
        <is>
          <t>2024-03-16</t>
        </is>
      </c>
      <c r="C64" s="10" t="inlineStr">
        <is>
          <t>P101</t>
        </is>
      </c>
      <c r="D64" s="10" t="inlineStr">
        <is>
          <t>Laptop Pro 15</t>
        </is>
      </c>
      <c r="E64" s="10" t="inlineStr">
        <is>
          <t>Electronics</t>
        </is>
      </c>
      <c r="F64" s="10" t="inlineStr">
        <is>
          <t>North</t>
        </is>
      </c>
      <c r="G64" s="10" t="n">
        <v>4</v>
      </c>
      <c r="H64" s="11" t="n">
        <v>53900</v>
      </c>
      <c r="I64" s="11" t="n">
        <v>45000</v>
      </c>
      <c r="J64" s="11">
        <f>G64*H64</f>
        <v/>
      </c>
      <c r="K64" s="11">
        <f>G64*I64</f>
        <v/>
      </c>
      <c r="L64" s="11">
        <f>J64-K64</f>
        <v/>
      </c>
      <c r="M64" s="12">
        <f>(L64/J64)</f>
        <v/>
      </c>
    </row>
    <row r="65">
      <c r="A65" s="10" t="inlineStr">
        <is>
          <t>ORD-2024169</t>
        </is>
      </c>
      <c r="B65" s="10" t="inlineStr">
        <is>
          <t>2024-03-17</t>
        </is>
      </c>
      <c r="C65" s="10" t="inlineStr">
        <is>
          <t>P113</t>
        </is>
      </c>
      <c r="D65" s="10" t="inlineStr">
        <is>
          <t>Laptop Backpack</t>
        </is>
      </c>
      <c r="E65" s="10" t="inlineStr">
        <is>
          <t>Accessories</t>
        </is>
      </c>
      <c r="F65" s="10" t="inlineStr">
        <is>
          <t>East</t>
        </is>
      </c>
      <c r="G65" s="10" t="n">
        <v>5</v>
      </c>
      <c r="H65" s="11" t="n">
        <v>1599</v>
      </c>
      <c r="I65" s="11" t="n">
        <v>820</v>
      </c>
      <c r="J65" s="11">
        <f>G65*H65</f>
        <v/>
      </c>
      <c r="K65" s="11">
        <f>G65*I65</f>
        <v/>
      </c>
      <c r="L65" s="11">
        <f>J65-K65</f>
        <v/>
      </c>
      <c r="M65" s="12">
        <f>(L65/J65)</f>
        <v/>
      </c>
    </row>
    <row r="66">
      <c r="A66" s="10" t="inlineStr">
        <is>
          <t>ORD-2024134</t>
        </is>
      </c>
      <c r="B66" s="10" t="inlineStr">
        <is>
          <t>2024-03-19</t>
        </is>
      </c>
      <c r="C66" s="10" t="inlineStr">
        <is>
          <t>P104</t>
        </is>
      </c>
      <c r="D66" s="10" t="inlineStr">
        <is>
          <t>Noise-Cancelling Headphones</t>
        </is>
      </c>
      <c r="E66" s="10" t="inlineStr">
        <is>
          <t>Electronics</t>
        </is>
      </c>
      <c r="F66" s="10" t="inlineStr">
        <is>
          <t>North</t>
        </is>
      </c>
      <c r="G66" s="10" t="n">
        <v>1</v>
      </c>
      <c r="H66" s="11" t="n">
        <v>5879.02</v>
      </c>
      <c r="I66" s="11" t="n">
        <v>3600</v>
      </c>
      <c r="J66" s="11">
        <f>G66*H66</f>
        <v/>
      </c>
      <c r="K66" s="11">
        <f>G66*I66</f>
        <v/>
      </c>
      <c r="L66" s="11">
        <f>J66-K66</f>
        <v/>
      </c>
      <c r="M66" s="12">
        <f>(L66/J66)</f>
        <v/>
      </c>
    </row>
    <row r="67">
      <c r="A67" s="10" t="inlineStr">
        <is>
          <t>ORD-2024278</t>
        </is>
      </c>
      <c r="B67" s="10" t="inlineStr">
        <is>
          <t>2024-03-19</t>
        </is>
      </c>
      <c r="C67" s="10" t="inlineStr">
        <is>
          <t>P111</t>
        </is>
      </c>
      <c r="D67" s="10" t="inlineStr">
        <is>
          <t>Desk Organizer Tray</t>
        </is>
      </c>
      <c r="E67" s="10" t="inlineStr">
        <is>
          <t>Office Supplies</t>
        </is>
      </c>
      <c r="F67" s="10" t="inlineStr">
        <is>
          <t>Central</t>
        </is>
      </c>
      <c r="G67" s="10" t="n">
        <v>2</v>
      </c>
      <c r="H67" s="11" t="n">
        <v>480</v>
      </c>
      <c r="I67" s="11" t="n">
        <v>260</v>
      </c>
      <c r="J67" s="11">
        <f>G67*H67</f>
        <v/>
      </c>
      <c r="K67" s="11">
        <f>G67*I67</f>
        <v/>
      </c>
      <c r="L67" s="11">
        <f>J67-K67</f>
        <v/>
      </c>
      <c r="M67" s="12">
        <f>(L67/J67)</f>
        <v/>
      </c>
    </row>
    <row r="68">
      <c r="A68" s="10" t="inlineStr">
        <is>
          <t>ORD-2024023</t>
        </is>
      </c>
      <c r="B68" s="10" t="inlineStr">
        <is>
          <t>2024-03-19</t>
        </is>
      </c>
      <c r="C68" s="10" t="inlineStr">
        <is>
          <t>P111</t>
        </is>
      </c>
      <c r="D68" s="10" t="inlineStr">
        <is>
          <t>Desk Organizer Tray</t>
        </is>
      </c>
      <c r="E68" s="10" t="inlineStr">
        <is>
          <t>Office Supplies</t>
        </is>
      </c>
      <c r="F68" s="10" t="inlineStr">
        <is>
          <t>North</t>
        </is>
      </c>
      <c r="G68" s="10" t="n">
        <v>11</v>
      </c>
      <c r="H68" s="11" t="n">
        <v>456</v>
      </c>
      <c r="I68" s="11" t="n">
        <v>260</v>
      </c>
      <c r="J68" s="11">
        <f>G68*H68</f>
        <v/>
      </c>
      <c r="K68" s="11">
        <f>G68*I68</f>
        <v/>
      </c>
      <c r="L68" s="11">
        <f>J68-K68</f>
        <v/>
      </c>
      <c r="M68" s="12">
        <f>(L68/J68)</f>
        <v/>
      </c>
    </row>
    <row r="69">
      <c r="A69" s="10" t="inlineStr">
        <is>
          <t>ORD-2024252</t>
        </is>
      </c>
      <c r="B69" s="10" t="inlineStr">
        <is>
          <t>2024-03-20</t>
        </is>
      </c>
      <c r="C69" s="10" t="inlineStr">
        <is>
          <t>P107</t>
        </is>
      </c>
      <c r="D69" s="10" t="inlineStr">
        <is>
          <t>Bookshelf Cabinet</t>
        </is>
      </c>
      <c r="E69" s="10" t="inlineStr">
        <is>
          <t>Furniture</t>
        </is>
      </c>
      <c r="F69" s="10" t="inlineStr">
        <is>
          <t>East</t>
        </is>
      </c>
      <c r="G69" s="10" t="n">
        <v>4</v>
      </c>
      <c r="H69" s="11" t="n">
        <v>5831</v>
      </c>
      <c r="I69" s="11" t="n">
        <v>4100</v>
      </c>
      <c r="J69" s="11">
        <f>G69*H69</f>
        <v/>
      </c>
      <c r="K69" s="11">
        <f>G69*I69</f>
        <v/>
      </c>
      <c r="L69" s="11">
        <f>J69-K69</f>
        <v/>
      </c>
      <c r="M69" s="12">
        <f>(L69/J69)</f>
        <v/>
      </c>
    </row>
    <row r="70">
      <c r="A70" s="10" t="inlineStr">
        <is>
          <t>ORD-2024071</t>
        </is>
      </c>
      <c r="B70" s="10" t="inlineStr">
        <is>
          <t>2024-03-20</t>
        </is>
      </c>
      <c r="C70" s="10" t="inlineStr">
        <is>
          <t>P105</t>
        </is>
      </c>
      <c r="D70" s="10" t="inlineStr">
        <is>
          <t>Ergonomic Office Chair</t>
        </is>
      </c>
      <c r="E70" s="10" t="inlineStr">
        <is>
          <t>Furniture</t>
        </is>
      </c>
      <c r="F70" s="10" t="inlineStr">
        <is>
          <t>South</t>
        </is>
      </c>
      <c r="G70" s="10" t="n">
        <v>2</v>
      </c>
      <c r="H70" s="11" t="n">
        <v>9999</v>
      </c>
      <c r="I70" s="11" t="n">
        <v>6800</v>
      </c>
      <c r="J70" s="11">
        <f>G70*H70</f>
        <v/>
      </c>
      <c r="K70" s="11">
        <f>G70*I70</f>
        <v/>
      </c>
      <c r="L70" s="11">
        <f>J70-K70</f>
        <v/>
      </c>
      <c r="M70" s="12">
        <f>(L70/J70)</f>
        <v/>
      </c>
    </row>
    <row r="71">
      <c r="A71" s="10" t="inlineStr">
        <is>
          <t>ORD-2024055</t>
        </is>
      </c>
      <c r="B71" s="10" t="inlineStr">
        <is>
          <t>2024-03-20</t>
        </is>
      </c>
      <c r="C71" s="10" t="inlineStr">
        <is>
          <t>P104</t>
        </is>
      </c>
      <c r="D71" s="10" t="inlineStr">
        <is>
          <t>Noise-Cancelling Headphones</t>
        </is>
      </c>
      <c r="E71" s="10" t="inlineStr">
        <is>
          <t>Electronics</t>
        </is>
      </c>
      <c r="F71" s="10" t="inlineStr">
        <is>
          <t>South</t>
        </is>
      </c>
      <c r="G71" s="10" t="n">
        <v>1</v>
      </c>
      <c r="H71" s="11" t="n">
        <v>5879.02</v>
      </c>
      <c r="I71" s="11" t="n">
        <v>3600</v>
      </c>
      <c r="J71" s="11">
        <f>G71*H71</f>
        <v/>
      </c>
      <c r="K71" s="11">
        <f>G71*I71</f>
        <v/>
      </c>
      <c r="L71" s="11">
        <f>J71-K71</f>
        <v/>
      </c>
      <c r="M71" s="12">
        <f>(L71/J71)</f>
        <v/>
      </c>
    </row>
    <row r="72">
      <c r="A72" s="10" t="inlineStr">
        <is>
          <t>ORD-2024292</t>
        </is>
      </c>
      <c r="B72" s="10" t="inlineStr">
        <is>
          <t>2024-03-21</t>
        </is>
      </c>
      <c r="C72" s="10" t="inlineStr">
        <is>
          <t>P106</t>
        </is>
      </c>
      <c r="D72" s="10" t="inlineStr">
        <is>
          <t>Standing Desk</t>
        </is>
      </c>
      <c r="E72" s="10" t="inlineStr">
        <is>
          <t>Furniture</t>
        </is>
      </c>
      <c r="F72" s="10" t="inlineStr">
        <is>
          <t>South</t>
        </is>
      </c>
      <c r="G72" s="10" t="n">
        <v>3</v>
      </c>
      <c r="H72" s="11" t="n">
        <v>18130</v>
      </c>
      <c r="I72" s="11" t="n">
        <v>12500</v>
      </c>
      <c r="J72" s="11">
        <f>G72*H72</f>
        <v/>
      </c>
      <c r="K72" s="11">
        <f>G72*I72</f>
        <v/>
      </c>
      <c r="L72" s="11">
        <f>J72-K72</f>
        <v/>
      </c>
      <c r="M72" s="12">
        <f>(L72/J72)</f>
        <v/>
      </c>
    </row>
    <row r="73">
      <c r="A73" s="10" t="inlineStr">
        <is>
          <t>ORD-2024085</t>
        </is>
      </c>
      <c r="B73" s="10" t="inlineStr">
        <is>
          <t>2024-03-22</t>
        </is>
      </c>
      <c r="C73" s="10" t="inlineStr">
        <is>
          <t>P113</t>
        </is>
      </c>
      <c r="D73" s="10" t="inlineStr">
        <is>
          <t>Laptop Backpack</t>
        </is>
      </c>
      <c r="E73" s="10" t="inlineStr">
        <is>
          <t>Accessories</t>
        </is>
      </c>
      <c r="F73" s="10" t="inlineStr">
        <is>
          <t>West</t>
        </is>
      </c>
      <c r="G73" s="10" t="n">
        <v>7</v>
      </c>
      <c r="H73" s="11" t="n">
        <v>1599</v>
      </c>
      <c r="I73" s="11" t="n">
        <v>820</v>
      </c>
      <c r="J73" s="11">
        <f>G73*H73</f>
        <v/>
      </c>
      <c r="K73" s="11">
        <f>G73*I73</f>
        <v/>
      </c>
      <c r="L73" s="11">
        <f>J73-K73</f>
        <v/>
      </c>
      <c r="M73" s="12">
        <f>(L73/J73)</f>
        <v/>
      </c>
    </row>
    <row r="74">
      <c r="A74" s="10" t="inlineStr">
        <is>
          <t>ORD-2024006</t>
        </is>
      </c>
      <c r="B74" s="10" t="inlineStr">
        <is>
          <t>2024-03-22</t>
        </is>
      </c>
      <c r="C74" s="10" t="inlineStr">
        <is>
          <t>P112</t>
        </is>
      </c>
      <c r="D74" s="10" t="inlineStr">
        <is>
          <t>USB-C Multiport Hub</t>
        </is>
      </c>
      <c r="E74" s="10" t="inlineStr">
        <is>
          <t>Accessories</t>
        </is>
      </c>
      <c r="F74" s="10" t="inlineStr">
        <is>
          <t>South</t>
        </is>
      </c>
      <c r="G74" s="10" t="n">
        <v>5</v>
      </c>
      <c r="H74" s="11" t="n">
        <v>1999</v>
      </c>
      <c r="I74" s="11" t="n">
        <v>1150</v>
      </c>
      <c r="J74" s="11">
        <f>G74*H74</f>
        <v/>
      </c>
      <c r="K74" s="11">
        <f>G74*I74</f>
        <v/>
      </c>
      <c r="L74" s="11">
        <f>J74-K74</f>
        <v/>
      </c>
      <c r="M74" s="12">
        <f>(L74/J74)</f>
        <v/>
      </c>
    </row>
    <row r="75">
      <c r="A75" s="10" t="inlineStr">
        <is>
          <t>ORD-2024016</t>
        </is>
      </c>
      <c r="B75" s="10" t="inlineStr">
        <is>
          <t>2024-03-24</t>
        </is>
      </c>
      <c r="C75" s="10" t="inlineStr">
        <is>
          <t>P108</t>
        </is>
      </c>
      <c r="D75" s="10" t="inlineStr">
        <is>
          <t>Executive Desk Lamp</t>
        </is>
      </c>
      <c r="E75" s="10" t="inlineStr">
        <is>
          <t>Furniture</t>
        </is>
      </c>
      <c r="F75" s="10" t="inlineStr">
        <is>
          <t>South</t>
        </is>
      </c>
      <c r="G75" s="10" t="n">
        <v>4</v>
      </c>
      <c r="H75" s="11" t="n">
        <v>1499</v>
      </c>
      <c r="I75" s="11" t="n">
        <v>850</v>
      </c>
      <c r="J75" s="11">
        <f>G75*H75</f>
        <v/>
      </c>
      <c r="K75" s="11">
        <f>G75*I75</f>
        <v/>
      </c>
      <c r="L75" s="11">
        <f>J75-K75</f>
        <v/>
      </c>
      <c r="M75" s="12">
        <f>(L75/J75)</f>
        <v/>
      </c>
    </row>
    <row r="76">
      <c r="A76" s="10" t="inlineStr">
        <is>
          <t>ORD-2024137</t>
        </is>
      </c>
      <c r="B76" s="10" t="inlineStr">
        <is>
          <t>2024-03-24</t>
        </is>
      </c>
      <c r="C76" s="10" t="inlineStr">
        <is>
          <t>P105</t>
        </is>
      </c>
      <c r="D76" s="10" t="inlineStr">
        <is>
          <t>Ergonomic Office Chair</t>
        </is>
      </c>
      <c r="E76" s="10" t="inlineStr">
        <is>
          <t>Furniture</t>
        </is>
      </c>
      <c r="F76" s="10" t="inlineStr">
        <is>
          <t>North</t>
        </is>
      </c>
      <c r="G76" s="10" t="n">
        <v>1</v>
      </c>
      <c r="H76" s="11" t="n">
        <v>9999</v>
      </c>
      <c r="I76" s="11" t="n">
        <v>6800</v>
      </c>
      <c r="J76" s="11">
        <f>G76*H76</f>
        <v/>
      </c>
      <c r="K76" s="11">
        <f>G76*I76</f>
        <v/>
      </c>
      <c r="L76" s="11">
        <f>J76-K76</f>
        <v/>
      </c>
      <c r="M76" s="12">
        <f>(L76/J76)</f>
        <v/>
      </c>
    </row>
    <row r="77">
      <c r="A77" s="10" t="inlineStr">
        <is>
          <t>ORD-2024288</t>
        </is>
      </c>
      <c r="B77" s="10" t="inlineStr">
        <is>
          <t>2024-04-02</t>
        </is>
      </c>
      <c r="C77" s="10" t="inlineStr">
        <is>
          <t>P105</t>
        </is>
      </c>
      <c r="D77" s="10" t="inlineStr">
        <is>
          <t>Ergonomic Office Chair</t>
        </is>
      </c>
      <c r="E77" s="10" t="inlineStr">
        <is>
          <t>Furniture</t>
        </is>
      </c>
      <c r="F77" s="10" t="inlineStr">
        <is>
          <t>West</t>
        </is>
      </c>
      <c r="G77" s="10" t="n">
        <v>3</v>
      </c>
      <c r="H77" s="11" t="n">
        <v>9999</v>
      </c>
      <c r="I77" s="11" t="n">
        <v>6800</v>
      </c>
      <c r="J77" s="11">
        <f>G77*H77</f>
        <v/>
      </c>
      <c r="K77" s="11">
        <f>G77*I77</f>
        <v/>
      </c>
      <c r="L77" s="11">
        <f>J77-K77</f>
        <v/>
      </c>
      <c r="M77" s="12">
        <f>(L77/J77)</f>
        <v/>
      </c>
    </row>
    <row r="78">
      <c r="A78" s="10" t="inlineStr">
        <is>
          <t>ORD-2024049</t>
        </is>
      </c>
      <c r="B78" s="10" t="inlineStr">
        <is>
          <t>2024-04-03</t>
        </is>
      </c>
      <c r="C78" s="10" t="inlineStr">
        <is>
          <t>P105</t>
        </is>
      </c>
      <c r="D78" s="10" t="inlineStr">
        <is>
          <t>Ergonomic Office Chair</t>
        </is>
      </c>
      <c r="E78" s="10" t="inlineStr">
        <is>
          <t>Furniture</t>
        </is>
      </c>
      <c r="F78" s="10" t="inlineStr">
        <is>
          <t>South</t>
        </is>
      </c>
      <c r="G78" s="10" t="n">
        <v>1</v>
      </c>
      <c r="H78" s="11" t="n">
        <v>9499.049999999999</v>
      </c>
      <c r="I78" s="11" t="n">
        <v>6800</v>
      </c>
      <c r="J78" s="11">
        <f>G78*H78</f>
        <v/>
      </c>
      <c r="K78" s="11">
        <f>G78*I78</f>
        <v/>
      </c>
      <c r="L78" s="11">
        <f>J78-K78</f>
        <v/>
      </c>
      <c r="M78" s="12">
        <f>(L78/J78)</f>
        <v/>
      </c>
    </row>
    <row r="79">
      <c r="A79" s="10" t="inlineStr">
        <is>
          <t>ORD-2024203</t>
        </is>
      </c>
      <c r="B79" s="10" t="inlineStr">
        <is>
          <t>2024-04-07</t>
        </is>
      </c>
      <c r="C79" s="10" t="inlineStr">
        <is>
          <t>P110</t>
        </is>
      </c>
      <c r="D79" s="10" t="inlineStr">
        <is>
          <t>A4 Copier Paper (500s)</t>
        </is>
      </c>
      <c r="E79" s="10" t="inlineStr">
        <is>
          <t>Office Supplies</t>
        </is>
      </c>
      <c r="F79" s="10" t="inlineStr">
        <is>
          <t>South</t>
        </is>
      </c>
      <c r="G79" s="10" t="n">
        <v>15</v>
      </c>
      <c r="H79" s="11" t="n">
        <v>320</v>
      </c>
      <c r="I79" s="11" t="n">
        <v>190</v>
      </c>
      <c r="J79" s="11">
        <f>G79*H79</f>
        <v/>
      </c>
      <c r="K79" s="11">
        <f>G79*I79</f>
        <v/>
      </c>
      <c r="L79" s="11">
        <f>J79-K79</f>
        <v/>
      </c>
      <c r="M79" s="12">
        <f>(L79/J79)</f>
        <v/>
      </c>
    </row>
    <row r="80">
      <c r="A80" s="10" t="inlineStr">
        <is>
          <t>ORD-2024160</t>
        </is>
      </c>
      <c r="B80" s="10" t="inlineStr">
        <is>
          <t>2024-04-08</t>
        </is>
      </c>
      <c r="C80" s="10" t="inlineStr">
        <is>
          <t>P104</t>
        </is>
      </c>
      <c r="D80" s="10" t="inlineStr">
        <is>
          <t>Noise-Cancelling Headphones</t>
        </is>
      </c>
      <c r="E80" s="10" t="inlineStr">
        <is>
          <t>Electronics</t>
        </is>
      </c>
      <c r="F80" s="10" t="inlineStr">
        <is>
          <t>West</t>
        </is>
      </c>
      <c r="G80" s="10" t="n">
        <v>3</v>
      </c>
      <c r="H80" s="11" t="n">
        <v>5879.02</v>
      </c>
      <c r="I80" s="11" t="n">
        <v>3600</v>
      </c>
      <c r="J80" s="11">
        <f>G80*H80</f>
        <v/>
      </c>
      <c r="K80" s="11">
        <f>G80*I80</f>
        <v/>
      </c>
      <c r="L80" s="11">
        <f>J80-K80</f>
        <v/>
      </c>
      <c r="M80" s="12">
        <f>(L80/J80)</f>
        <v/>
      </c>
    </row>
    <row r="81">
      <c r="A81" s="10" t="inlineStr">
        <is>
          <t>ORD-2024048</t>
        </is>
      </c>
      <c r="B81" s="10" t="inlineStr">
        <is>
          <t>2024-04-08</t>
        </is>
      </c>
      <c r="C81" s="10" t="inlineStr">
        <is>
          <t>P104</t>
        </is>
      </c>
      <c r="D81" s="10" t="inlineStr">
        <is>
          <t>Noise-Cancelling Headphones</t>
        </is>
      </c>
      <c r="E81" s="10" t="inlineStr">
        <is>
          <t>Electronics</t>
        </is>
      </c>
      <c r="F81" s="10" t="inlineStr">
        <is>
          <t>East</t>
        </is>
      </c>
      <c r="G81" s="10" t="n">
        <v>2</v>
      </c>
      <c r="H81" s="11" t="n">
        <v>5699.05</v>
      </c>
      <c r="I81" s="11" t="n">
        <v>3600</v>
      </c>
      <c r="J81" s="11">
        <f>G81*H81</f>
        <v/>
      </c>
      <c r="K81" s="11">
        <f>G81*I81</f>
        <v/>
      </c>
      <c r="L81" s="11">
        <f>J81-K81</f>
        <v/>
      </c>
      <c r="M81" s="12">
        <f>(L81/J81)</f>
        <v/>
      </c>
    </row>
    <row r="82">
      <c r="A82" s="10" t="inlineStr">
        <is>
          <t>ORD-2024139</t>
        </is>
      </c>
      <c r="B82" s="10" t="inlineStr">
        <is>
          <t>2024-04-11</t>
        </is>
      </c>
      <c r="C82" s="10" t="inlineStr">
        <is>
          <t>P102</t>
        </is>
      </c>
      <c r="D82" s="10" t="inlineStr">
        <is>
          <t>Wireless Mouse</t>
        </is>
      </c>
      <c r="E82" s="10" t="inlineStr">
        <is>
          <t>Electronics</t>
        </is>
      </c>
      <c r="F82" s="10" t="inlineStr">
        <is>
          <t>East</t>
        </is>
      </c>
      <c r="G82" s="10" t="n">
        <v>4</v>
      </c>
      <c r="H82" s="11" t="n">
        <v>750</v>
      </c>
      <c r="I82" s="11" t="n">
        <v>420</v>
      </c>
      <c r="J82" s="11">
        <f>G82*H82</f>
        <v/>
      </c>
      <c r="K82" s="11">
        <f>G82*I82</f>
        <v/>
      </c>
      <c r="L82" s="11">
        <f>J82-K82</f>
        <v/>
      </c>
      <c r="M82" s="12">
        <f>(L82/J82)</f>
        <v/>
      </c>
    </row>
    <row r="83">
      <c r="A83" s="10" t="inlineStr">
        <is>
          <t>ORD-2024062</t>
        </is>
      </c>
      <c r="B83" s="10" t="inlineStr">
        <is>
          <t>2024-04-14</t>
        </is>
      </c>
      <c r="C83" s="10" t="inlineStr">
        <is>
          <t>P111</t>
        </is>
      </c>
      <c r="D83" s="10" t="inlineStr">
        <is>
          <t>Desk Organizer Tray</t>
        </is>
      </c>
      <c r="E83" s="10" t="inlineStr">
        <is>
          <t>Office Supplies</t>
        </is>
      </c>
      <c r="F83" s="10" t="inlineStr">
        <is>
          <t>West</t>
        </is>
      </c>
      <c r="G83" s="10" t="n">
        <v>4</v>
      </c>
      <c r="H83" s="11" t="n">
        <v>480</v>
      </c>
      <c r="I83" s="11" t="n">
        <v>260</v>
      </c>
      <c r="J83" s="11">
        <f>G83*H83</f>
        <v/>
      </c>
      <c r="K83" s="11">
        <f>G83*I83</f>
        <v/>
      </c>
      <c r="L83" s="11">
        <f>J83-K83</f>
        <v/>
      </c>
      <c r="M83" s="12">
        <f>(L83/J83)</f>
        <v/>
      </c>
    </row>
    <row r="84">
      <c r="A84" s="10" t="inlineStr">
        <is>
          <t>ORD-2024072</t>
        </is>
      </c>
      <c r="B84" s="10" t="inlineStr">
        <is>
          <t>2024-04-14</t>
        </is>
      </c>
      <c r="C84" s="10" t="inlineStr">
        <is>
          <t>P111</t>
        </is>
      </c>
      <c r="D84" s="10" t="inlineStr">
        <is>
          <t>Desk Organizer Tray</t>
        </is>
      </c>
      <c r="E84" s="10" t="inlineStr">
        <is>
          <t>Office Supplies</t>
        </is>
      </c>
      <c r="F84" s="10" t="inlineStr">
        <is>
          <t>East</t>
        </is>
      </c>
      <c r="G84" s="10" t="n">
        <v>5</v>
      </c>
      <c r="H84" s="11" t="n">
        <v>470.4</v>
      </c>
      <c r="I84" s="11" t="n">
        <v>260</v>
      </c>
      <c r="J84" s="11">
        <f>G84*H84</f>
        <v/>
      </c>
      <c r="K84" s="11">
        <f>G84*I84</f>
        <v/>
      </c>
      <c r="L84" s="11">
        <f>J84-K84</f>
        <v/>
      </c>
      <c r="M84" s="12">
        <f>(L84/J84)</f>
        <v/>
      </c>
    </row>
    <row r="85">
      <c r="A85" s="10" t="inlineStr">
        <is>
          <t>ORD-2024150</t>
        </is>
      </c>
      <c r="B85" s="10" t="inlineStr">
        <is>
          <t>2024-04-18</t>
        </is>
      </c>
      <c r="C85" s="10" t="inlineStr">
        <is>
          <t>P106</t>
        </is>
      </c>
      <c r="D85" s="10" t="inlineStr">
        <is>
          <t>Standing Desk</t>
        </is>
      </c>
      <c r="E85" s="10" t="inlineStr">
        <is>
          <t>Furniture</t>
        </is>
      </c>
      <c r="F85" s="10" t="inlineStr">
        <is>
          <t>West</t>
        </is>
      </c>
      <c r="G85" s="10" t="n">
        <v>3</v>
      </c>
      <c r="H85" s="11" t="n">
        <v>18500</v>
      </c>
      <c r="I85" s="11" t="n">
        <v>12500</v>
      </c>
      <c r="J85" s="11">
        <f>G85*H85</f>
        <v/>
      </c>
      <c r="K85" s="11">
        <f>G85*I85</f>
        <v/>
      </c>
      <c r="L85" s="11">
        <f>J85-K85</f>
        <v/>
      </c>
      <c r="M85" s="12">
        <f>(L85/J85)</f>
        <v/>
      </c>
    </row>
    <row r="86">
      <c r="A86" s="10" t="inlineStr">
        <is>
          <t>ORD-2024066</t>
        </is>
      </c>
      <c r="B86" s="10" t="inlineStr">
        <is>
          <t>2024-04-19</t>
        </is>
      </c>
      <c r="C86" s="10" t="inlineStr">
        <is>
          <t>P109</t>
        </is>
      </c>
      <c r="D86" s="10" t="inlineStr">
        <is>
          <t>Gel Pen Pack (10x)</t>
        </is>
      </c>
      <c r="E86" s="10" t="inlineStr">
        <is>
          <t>Office Supplies</t>
        </is>
      </c>
      <c r="F86" s="10" t="inlineStr">
        <is>
          <t>North</t>
        </is>
      </c>
      <c r="G86" s="10" t="n">
        <v>15</v>
      </c>
      <c r="H86" s="11" t="n">
        <v>240</v>
      </c>
      <c r="I86" s="11" t="n">
        <v>110</v>
      </c>
      <c r="J86" s="11">
        <f>G86*H86</f>
        <v/>
      </c>
      <c r="K86" s="11">
        <f>G86*I86</f>
        <v/>
      </c>
      <c r="L86" s="11">
        <f>J86-K86</f>
        <v/>
      </c>
      <c r="M86" s="12">
        <f>(L86/J86)</f>
        <v/>
      </c>
    </row>
    <row r="87">
      <c r="A87" s="10" t="inlineStr">
        <is>
          <t>ORD-2024260</t>
        </is>
      </c>
      <c r="B87" s="10" t="inlineStr">
        <is>
          <t>2024-04-20</t>
        </is>
      </c>
      <c r="C87" s="10" t="inlineStr">
        <is>
          <t>P114</t>
        </is>
      </c>
      <c r="D87" s="10" t="inlineStr">
        <is>
          <t>Webcam 1080p HD</t>
        </is>
      </c>
      <c r="E87" s="10" t="inlineStr">
        <is>
          <t>Accessories</t>
        </is>
      </c>
      <c r="F87" s="10" t="inlineStr">
        <is>
          <t>West</t>
        </is>
      </c>
      <c r="G87" s="10" t="n">
        <v>6</v>
      </c>
      <c r="H87" s="11" t="n">
        <v>2450</v>
      </c>
      <c r="I87" s="11" t="n">
        <v>1450</v>
      </c>
      <c r="J87" s="11">
        <f>G87*H87</f>
        <v/>
      </c>
      <c r="K87" s="11">
        <f>G87*I87</f>
        <v/>
      </c>
      <c r="L87" s="11">
        <f>J87-K87</f>
        <v/>
      </c>
      <c r="M87" s="12">
        <f>(L87/J87)</f>
        <v/>
      </c>
    </row>
    <row r="88">
      <c r="A88" s="10" t="inlineStr">
        <is>
          <t>ORD-2024007</t>
        </is>
      </c>
      <c r="B88" s="10" t="inlineStr">
        <is>
          <t>2024-04-20</t>
        </is>
      </c>
      <c r="C88" s="10" t="inlineStr">
        <is>
          <t>P113</t>
        </is>
      </c>
      <c r="D88" s="10" t="inlineStr">
        <is>
          <t>Laptop Backpack</t>
        </is>
      </c>
      <c r="E88" s="10" t="inlineStr">
        <is>
          <t>Accessories</t>
        </is>
      </c>
      <c r="F88" s="10" t="inlineStr">
        <is>
          <t>South</t>
        </is>
      </c>
      <c r="G88" s="10" t="n">
        <v>2</v>
      </c>
      <c r="H88" s="11" t="n">
        <v>1519.05</v>
      </c>
      <c r="I88" s="11" t="n">
        <v>820</v>
      </c>
      <c r="J88" s="11">
        <f>G88*H88</f>
        <v/>
      </c>
      <c r="K88" s="11">
        <f>G88*I88</f>
        <v/>
      </c>
      <c r="L88" s="11">
        <f>J88-K88</f>
        <v/>
      </c>
      <c r="M88" s="12">
        <f>(L88/J88)</f>
        <v/>
      </c>
    </row>
    <row r="89">
      <c r="A89" s="10" t="inlineStr">
        <is>
          <t>ORD-2024275</t>
        </is>
      </c>
      <c r="B89" s="10" t="inlineStr">
        <is>
          <t>2024-04-20</t>
        </is>
      </c>
      <c r="C89" s="10" t="inlineStr">
        <is>
          <t>P107</t>
        </is>
      </c>
      <c r="D89" s="10" t="inlineStr">
        <is>
          <t>Bookshelf Cabinet</t>
        </is>
      </c>
      <c r="E89" s="10" t="inlineStr">
        <is>
          <t>Furniture</t>
        </is>
      </c>
      <c r="F89" s="10" t="inlineStr">
        <is>
          <t>South</t>
        </is>
      </c>
      <c r="G89" s="10" t="n">
        <v>2</v>
      </c>
      <c r="H89" s="11" t="n">
        <v>5652.5</v>
      </c>
      <c r="I89" s="11" t="n">
        <v>4100</v>
      </c>
      <c r="J89" s="11">
        <f>G89*H89</f>
        <v/>
      </c>
      <c r="K89" s="11">
        <f>G89*I89</f>
        <v/>
      </c>
      <c r="L89" s="11">
        <f>J89-K89</f>
        <v/>
      </c>
      <c r="M89" s="12">
        <f>(L89/J89)</f>
        <v/>
      </c>
    </row>
    <row r="90">
      <c r="A90" s="10" t="inlineStr">
        <is>
          <t>ORD-2024135</t>
        </is>
      </c>
      <c r="B90" s="10" t="inlineStr">
        <is>
          <t>2024-04-21</t>
        </is>
      </c>
      <c r="C90" s="10" t="inlineStr">
        <is>
          <t>P108</t>
        </is>
      </c>
      <c r="D90" s="10" t="inlineStr">
        <is>
          <t>Executive Desk Lamp</t>
        </is>
      </c>
      <c r="E90" s="10" t="inlineStr">
        <is>
          <t>Furniture</t>
        </is>
      </c>
      <c r="F90" s="10" t="inlineStr">
        <is>
          <t>East</t>
        </is>
      </c>
      <c r="G90" s="10" t="n">
        <v>6</v>
      </c>
      <c r="H90" s="11" t="n">
        <v>1499</v>
      </c>
      <c r="I90" s="11" t="n">
        <v>850</v>
      </c>
      <c r="J90" s="11">
        <f>G90*H90</f>
        <v/>
      </c>
      <c r="K90" s="11">
        <f>G90*I90</f>
        <v/>
      </c>
      <c r="L90" s="11">
        <f>J90-K90</f>
        <v/>
      </c>
      <c r="M90" s="12">
        <f>(L90/J90)</f>
        <v/>
      </c>
    </row>
    <row r="91">
      <c r="A91" s="10" t="inlineStr">
        <is>
          <t>ORD-2024040</t>
        </is>
      </c>
      <c r="B91" s="10" t="inlineStr">
        <is>
          <t>2024-04-22</t>
        </is>
      </c>
      <c r="C91" s="10" t="inlineStr">
        <is>
          <t>P101</t>
        </is>
      </c>
      <c r="D91" s="10" t="inlineStr">
        <is>
          <t>Laptop Pro 15</t>
        </is>
      </c>
      <c r="E91" s="10" t="inlineStr">
        <is>
          <t>Electronics</t>
        </is>
      </c>
      <c r="F91" s="10" t="inlineStr">
        <is>
          <t>North</t>
        </is>
      </c>
      <c r="G91" s="10" t="n">
        <v>1</v>
      </c>
      <c r="H91" s="11" t="n">
        <v>55000</v>
      </c>
      <c r="I91" s="11" t="n">
        <v>45000</v>
      </c>
      <c r="J91" s="11">
        <f>G91*H91</f>
        <v/>
      </c>
      <c r="K91" s="11">
        <f>G91*I91</f>
        <v/>
      </c>
      <c r="L91" s="11">
        <f>J91-K91</f>
        <v/>
      </c>
      <c r="M91" s="12">
        <f>(L91/J91)</f>
        <v/>
      </c>
    </row>
    <row r="92">
      <c r="A92" s="10" t="inlineStr">
        <is>
          <t>ORD-2024124</t>
        </is>
      </c>
      <c r="B92" s="10" t="inlineStr">
        <is>
          <t>2024-04-22</t>
        </is>
      </c>
      <c r="C92" s="10" t="inlineStr">
        <is>
          <t>P108</t>
        </is>
      </c>
      <c r="D92" s="10" t="inlineStr">
        <is>
          <t>Executive Desk Lamp</t>
        </is>
      </c>
      <c r="E92" s="10" t="inlineStr">
        <is>
          <t>Furniture</t>
        </is>
      </c>
      <c r="F92" s="10" t="inlineStr">
        <is>
          <t>North</t>
        </is>
      </c>
      <c r="G92" s="10" t="n">
        <v>7</v>
      </c>
      <c r="H92" s="11" t="n">
        <v>1424.05</v>
      </c>
      <c r="I92" s="11" t="n">
        <v>850</v>
      </c>
      <c r="J92" s="11">
        <f>G92*H92</f>
        <v/>
      </c>
      <c r="K92" s="11">
        <f>G92*I92</f>
        <v/>
      </c>
      <c r="L92" s="11">
        <f>J92-K92</f>
        <v/>
      </c>
      <c r="M92" s="12">
        <f>(L92/J92)</f>
        <v/>
      </c>
    </row>
    <row r="93">
      <c r="A93" s="10" t="inlineStr">
        <is>
          <t>ORD-2024247</t>
        </is>
      </c>
      <c r="B93" s="10" t="inlineStr">
        <is>
          <t>2024-04-23</t>
        </is>
      </c>
      <c r="C93" s="10" t="inlineStr">
        <is>
          <t>P111</t>
        </is>
      </c>
      <c r="D93" s="10" t="inlineStr">
        <is>
          <t>Desk Organizer Tray</t>
        </is>
      </c>
      <c r="E93" s="10" t="inlineStr">
        <is>
          <t>Office Supplies</t>
        </is>
      </c>
      <c r="F93" s="10" t="inlineStr">
        <is>
          <t>North</t>
        </is>
      </c>
      <c r="G93" s="10" t="n">
        <v>14</v>
      </c>
      <c r="H93" s="11" t="n">
        <v>456</v>
      </c>
      <c r="I93" s="11" t="n">
        <v>260</v>
      </c>
      <c r="J93" s="11">
        <f>G93*H93</f>
        <v/>
      </c>
      <c r="K93" s="11">
        <f>G93*I93</f>
        <v/>
      </c>
      <c r="L93" s="11">
        <f>J93-K93</f>
        <v/>
      </c>
      <c r="M93" s="12">
        <f>(L93/J93)</f>
        <v/>
      </c>
    </row>
    <row r="94">
      <c r="A94" s="10" t="inlineStr">
        <is>
          <t>ORD-2024002</t>
        </is>
      </c>
      <c r="B94" s="10" t="inlineStr">
        <is>
          <t>2024-04-24</t>
        </is>
      </c>
      <c r="C94" s="10" t="inlineStr">
        <is>
          <t>P103</t>
        </is>
      </c>
      <c r="D94" s="10" t="inlineStr">
        <is>
          <t>Mechanical Keyboard</t>
        </is>
      </c>
      <c r="E94" s="10" t="inlineStr">
        <is>
          <t>Electronics</t>
        </is>
      </c>
      <c r="F94" s="10" t="inlineStr">
        <is>
          <t>West</t>
        </is>
      </c>
      <c r="G94" s="10" t="n">
        <v>1</v>
      </c>
      <c r="H94" s="11" t="n">
        <v>2744</v>
      </c>
      <c r="I94" s="11" t="n">
        <v>1850</v>
      </c>
      <c r="J94" s="11">
        <f>G94*H94</f>
        <v/>
      </c>
      <c r="K94" s="11">
        <f>G94*I94</f>
        <v/>
      </c>
      <c r="L94" s="11">
        <f>J94-K94</f>
        <v/>
      </c>
      <c r="M94" s="12">
        <f>(L94/J94)</f>
        <v/>
      </c>
    </row>
    <row r="95">
      <c r="A95" s="10" t="inlineStr">
        <is>
          <t>ORD-2024132</t>
        </is>
      </c>
      <c r="B95" s="10" t="inlineStr">
        <is>
          <t>2024-04-24</t>
        </is>
      </c>
      <c r="C95" s="10" t="inlineStr">
        <is>
          <t>P111</t>
        </is>
      </c>
      <c r="D95" s="10" t="inlineStr">
        <is>
          <t>Desk Organizer Tray</t>
        </is>
      </c>
      <c r="E95" s="10" t="inlineStr">
        <is>
          <t>Office Supplies</t>
        </is>
      </c>
      <c r="F95" s="10" t="inlineStr">
        <is>
          <t>North</t>
        </is>
      </c>
      <c r="G95" s="10" t="n">
        <v>11</v>
      </c>
      <c r="H95" s="11" t="n">
        <v>480</v>
      </c>
      <c r="I95" s="11" t="n">
        <v>260</v>
      </c>
      <c r="J95" s="11">
        <f>G95*H95</f>
        <v/>
      </c>
      <c r="K95" s="11">
        <f>G95*I95</f>
        <v/>
      </c>
      <c r="L95" s="11">
        <f>J95-K95</f>
        <v/>
      </c>
      <c r="M95" s="12">
        <f>(L95/J95)</f>
        <v/>
      </c>
    </row>
    <row r="96">
      <c r="A96" s="10" t="inlineStr">
        <is>
          <t>ORD-2024219</t>
        </is>
      </c>
      <c r="B96" s="10" t="inlineStr">
        <is>
          <t>2024-04-26</t>
        </is>
      </c>
      <c r="C96" s="10" t="inlineStr">
        <is>
          <t>P112</t>
        </is>
      </c>
      <c r="D96" s="10" t="inlineStr">
        <is>
          <t>USB-C Multiport Hub</t>
        </is>
      </c>
      <c r="E96" s="10" t="inlineStr">
        <is>
          <t>Accessories</t>
        </is>
      </c>
      <c r="F96" s="10" t="inlineStr">
        <is>
          <t>North</t>
        </is>
      </c>
      <c r="G96" s="10" t="n">
        <v>2</v>
      </c>
      <c r="H96" s="11" t="n">
        <v>1999</v>
      </c>
      <c r="I96" s="11" t="n">
        <v>1150</v>
      </c>
      <c r="J96" s="11">
        <f>G96*H96</f>
        <v/>
      </c>
      <c r="K96" s="11">
        <f>G96*I96</f>
        <v/>
      </c>
      <c r="L96" s="11">
        <f>J96-K96</f>
        <v/>
      </c>
      <c r="M96" s="12">
        <f>(L96/J96)</f>
        <v/>
      </c>
    </row>
    <row r="97">
      <c r="A97" s="10" t="inlineStr">
        <is>
          <t>ORD-2024105</t>
        </is>
      </c>
      <c r="B97" s="10" t="inlineStr">
        <is>
          <t>2024-04-30</t>
        </is>
      </c>
      <c r="C97" s="10" t="inlineStr">
        <is>
          <t>P111</t>
        </is>
      </c>
      <c r="D97" s="10" t="inlineStr">
        <is>
          <t>Desk Organizer Tray</t>
        </is>
      </c>
      <c r="E97" s="10" t="inlineStr">
        <is>
          <t>Office Supplies</t>
        </is>
      </c>
      <c r="F97" s="10" t="inlineStr">
        <is>
          <t>South</t>
        </is>
      </c>
      <c r="G97" s="10" t="n">
        <v>13</v>
      </c>
      <c r="H97" s="11" t="n">
        <v>480</v>
      </c>
      <c r="I97" s="11" t="n">
        <v>260</v>
      </c>
      <c r="J97" s="11">
        <f>G97*H97</f>
        <v/>
      </c>
      <c r="K97" s="11">
        <f>G97*I97</f>
        <v/>
      </c>
      <c r="L97" s="11">
        <f>J97-K97</f>
        <v/>
      </c>
      <c r="M97" s="12">
        <f>(L97/J97)</f>
        <v/>
      </c>
    </row>
    <row r="98">
      <c r="A98" s="10" t="inlineStr">
        <is>
          <t>ORD-2024082</t>
        </is>
      </c>
      <c r="B98" s="10" t="inlineStr">
        <is>
          <t>2024-05-01</t>
        </is>
      </c>
      <c r="C98" s="10" t="inlineStr">
        <is>
          <t>P114</t>
        </is>
      </c>
      <c r="D98" s="10" t="inlineStr">
        <is>
          <t>Webcam 1080p HD</t>
        </is>
      </c>
      <c r="E98" s="10" t="inlineStr">
        <is>
          <t>Accessories</t>
        </is>
      </c>
      <c r="F98" s="10" t="inlineStr">
        <is>
          <t>North</t>
        </is>
      </c>
      <c r="G98" s="10" t="n">
        <v>13</v>
      </c>
      <c r="H98" s="11" t="n">
        <v>2450</v>
      </c>
      <c r="I98" s="11" t="n">
        <v>1450</v>
      </c>
      <c r="J98" s="11">
        <f>G98*H98</f>
        <v/>
      </c>
      <c r="K98" s="11">
        <f>G98*I98</f>
        <v/>
      </c>
      <c r="L98" s="11">
        <f>J98-K98</f>
        <v/>
      </c>
      <c r="M98" s="12">
        <f>(L98/J98)</f>
        <v/>
      </c>
    </row>
    <row r="99">
      <c r="A99" s="10" t="inlineStr">
        <is>
          <t>ORD-2024051</t>
        </is>
      </c>
      <c r="B99" s="10" t="inlineStr">
        <is>
          <t>2024-05-01</t>
        </is>
      </c>
      <c r="C99" s="10" t="inlineStr">
        <is>
          <t>P103</t>
        </is>
      </c>
      <c r="D99" s="10" t="inlineStr">
        <is>
          <t>Mechanical Keyboard</t>
        </is>
      </c>
      <c r="E99" s="10" t="inlineStr">
        <is>
          <t>Electronics</t>
        </is>
      </c>
      <c r="F99" s="10" t="inlineStr">
        <is>
          <t>South</t>
        </is>
      </c>
      <c r="G99" s="10" t="n">
        <v>4</v>
      </c>
      <c r="H99" s="11" t="n">
        <v>2800</v>
      </c>
      <c r="I99" s="11" t="n">
        <v>1850</v>
      </c>
      <c r="J99" s="11">
        <f>G99*H99</f>
        <v/>
      </c>
      <c r="K99" s="11">
        <f>G99*I99</f>
        <v/>
      </c>
      <c r="L99" s="11">
        <f>J99-K99</f>
        <v/>
      </c>
      <c r="M99" s="12">
        <f>(L99/J99)</f>
        <v/>
      </c>
    </row>
    <row r="100">
      <c r="A100" s="10" t="inlineStr">
        <is>
          <t>ORD-2024042</t>
        </is>
      </c>
      <c r="B100" s="10" t="inlineStr">
        <is>
          <t>2024-05-01</t>
        </is>
      </c>
      <c r="C100" s="10" t="inlineStr">
        <is>
          <t>P105</t>
        </is>
      </c>
      <c r="D100" s="10" t="inlineStr">
        <is>
          <t>Ergonomic Office Chair</t>
        </is>
      </c>
      <c r="E100" s="10" t="inlineStr">
        <is>
          <t>Furniture</t>
        </is>
      </c>
      <c r="F100" s="10" t="inlineStr">
        <is>
          <t>East</t>
        </is>
      </c>
      <c r="G100" s="10" t="n">
        <v>2</v>
      </c>
      <c r="H100" s="11" t="n">
        <v>9799.02</v>
      </c>
      <c r="I100" s="11" t="n">
        <v>6800</v>
      </c>
      <c r="J100" s="11">
        <f>G100*H100</f>
        <v/>
      </c>
      <c r="K100" s="11">
        <f>G100*I100</f>
        <v/>
      </c>
      <c r="L100" s="11">
        <f>J100-K100</f>
        <v/>
      </c>
      <c r="M100" s="12">
        <f>(L100/J100)</f>
        <v/>
      </c>
    </row>
    <row r="101">
      <c r="A101" s="10" t="inlineStr">
        <is>
          <t>ORD-2024198</t>
        </is>
      </c>
      <c r="B101" s="10" t="inlineStr">
        <is>
          <t>2024-05-02</t>
        </is>
      </c>
      <c r="C101" s="10" t="inlineStr">
        <is>
          <t>P112</t>
        </is>
      </c>
      <c r="D101" s="10" t="inlineStr">
        <is>
          <t>USB-C Multiport Hub</t>
        </is>
      </c>
      <c r="E101" s="10" t="inlineStr">
        <is>
          <t>Accessories</t>
        </is>
      </c>
      <c r="F101" s="10" t="inlineStr">
        <is>
          <t>North</t>
        </is>
      </c>
      <c r="G101" s="10" t="n">
        <v>9</v>
      </c>
      <c r="H101" s="11" t="n">
        <v>1999</v>
      </c>
      <c r="I101" s="11" t="n">
        <v>1150</v>
      </c>
      <c r="J101" s="11">
        <f>G101*H101</f>
        <v/>
      </c>
      <c r="K101" s="11">
        <f>G101*I101</f>
        <v/>
      </c>
      <c r="L101" s="11">
        <f>J101-K101</f>
        <v/>
      </c>
      <c r="M101" s="12">
        <f>(L101/J101)</f>
        <v/>
      </c>
    </row>
    <row r="102">
      <c r="A102" s="10" t="inlineStr">
        <is>
          <t>ORD-2024033</t>
        </is>
      </c>
      <c r="B102" s="10" t="inlineStr">
        <is>
          <t>2024-05-03</t>
        </is>
      </c>
      <c r="C102" s="10" t="inlineStr">
        <is>
          <t>P110</t>
        </is>
      </c>
      <c r="D102" s="10" t="inlineStr">
        <is>
          <t>A4 Copier Paper (500s)</t>
        </is>
      </c>
      <c r="E102" s="10" t="inlineStr">
        <is>
          <t>Office Supplies</t>
        </is>
      </c>
      <c r="F102" s="10" t="inlineStr">
        <is>
          <t>Central</t>
        </is>
      </c>
      <c r="G102" s="10" t="n">
        <v>2</v>
      </c>
      <c r="H102" s="11" t="n">
        <v>304</v>
      </c>
      <c r="I102" s="11" t="n">
        <v>190</v>
      </c>
      <c r="J102" s="11">
        <f>G102*H102</f>
        <v/>
      </c>
      <c r="K102" s="11">
        <f>G102*I102</f>
        <v/>
      </c>
      <c r="L102" s="11">
        <f>J102-K102</f>
        <v/>
      </c>
      <c r="M102" s="12">
        <f>(L102/J102)</f>
        <v/>
      </c>
    </row>
    <row r="103">
      <c r="A103" s="10" t="inlineStr">
        <is>
          <t>ORD-2024170</t>
        </is>
      </c>
      <c r="B103" s="10" t="inlineStr">
        <is>
          <t>2024-05-07</t>
        </is>
      </c>
      <c r="C103" s="10" t="inlineStr">
        <is>
          <t>P102</t>
        </is>
      </c>
      <c r="D103" s="10" t="inlineStr">
        <is>
          <t>Wireless Mouse</t>
        </is>
      </c>
      <c r="E103" s="10" t="inlineStr">
        <is>
          <t>Electronics</t>
        </is>
      </c>
      <c r="F103" s="10" t="inlineStr">
        <is>
          <t>East</t>
        </is>
      </c>
      <c r="G103" s="10" t="n">
        <v>7</v>
      </c>
      <c r="H103" s="11" t="n">
        <v>735</v>
      </c>
      <c r="I103" s="11" t="n">
        <v>420</v>
      </c>
      <c r="J103" s="11">
        <f>G103*H103</f>
        <v/>
      </c>
      <c r="K103" s="11">
        <f>G103*I103</f>
        <v/>
      </c>
      <c r="L103" s="11">
        <f>J103-K103</f>
        <v/>
      </c>
      <c r="M103" s="12">
        <f>(L103/J103)</f>
        <v/>
      </c>
    </row>
    <row r="104">
      <c r="A104" s="10" t="inlineStr">
        <is>
          <t>ORD-2024025</t>
        </is>
      </c>
      <c r="B104" s="10" t="inlineStr">
        <is>
          <t>2024-05-08</t>
        </is>
      </c>
      <c r="C104" s="10" t="inlineStr">
        <is>
          <t>P109</t>
        </is>
      </c>
      <c r="D104" s="10" t="inlineStr">
        <is>
          <t>Gel Pen Pack (10x)</t>
        </is>
      </c>
      <c r="E104" s="10" t="inlineStr">
        <is>
          <t>Office Supplies</t>
        </is>
      </c>
      <c r="F104" s="10" t="inlineStr">
        <is>
          <t>West</t>
        </is>
      </c>
      <c r="G104" s="10" t="n">
        <v>1</v>
      </c>
      <c r="H104" s="11" t="n">
        <v>240</v>
      </c>
      <c r="I104" s="11" t="n">
        <v>110</v>
      </c>
      <c r="J104" s="11">
        <f>G104*H104</f>
        <v/>
      </c>
      <c r="K104" s="11">
        <f>G104*I104</f>
        <v/>
      </c>
      <c r="L104" s="11">
        <f>J104-K104</f>
        <v/>
      </c>
      <c r="M104" s="12">
        <f>(L104/J104)</f>
        <v/>
      </c>
    </row>
    <row r="105">
      <c r="A105" s="10" t="inlineStr">
        <is>
          <t>ORD-2024300</t>
        </is>
      </c>
      <c r="B105" s="10" t="inlineStr">
        <is>
          <t>2024-05-10</t>
        </is>
      </c>
      <c r="C105" s="10" t="inlineStr">
        <is>
          <t>P105</t>
        </is>
      </c>
      <c r="D105" s="10" t="inlineStr">
        <is>
          <t>Ergonomic Office Chair</t>
        </is>
      </c>
      <c r="E105" s="10" t="inlineStr">
        <is>
          <t>Furniture</t>
        </is>
      </c>
      <c r="F105" s="10" t="inlineStr">
        <is>
          <t>South</t>
        </is>
      </c>
      <c r="G105" s="10" t="n">
        <v>1</v>
      </c>
      <c r="H105" s="11" t="n">
        <v>9499.049999999999</v>
      </c>
      <c r="I105" s="11" t="n">
        <v>6800</v>
      </c>
      <c r="J105" s="11">
        <f>G105*H105</f>
        <v/>
      </c>
      <c r="K105" s="11">
        <f>G105*I105</f>
        <v/>
      </c>
      <c r="L105" s="11">
        <f>J105-K105</f>
        <v/>
      </c>
      <c r="M105" s="12">
        <f>(L105/J105)</f>
        <v/>
      </c>
    </row>
    <row r="106">
      <c r="A106" s="10" t="inlineStr">
        <is>
          <t>ORD-2024028</t>
        </is>
      </c>
      <c r="B106" s="10" t="inlineStr">
        <is>
          <t>2024-05-14</t>
        </is>
      </c>
      <c r="C106" s="10" t="inlineStr">
        <is>
          <t>P109</t>
        </is>
      </c>
      <c r="D106" s="10" t="inlineStr">
        <is>
          <t>Gel Pen Pack (10x)</t>
        </is>
      </c>
      <c r="E106" s="10" t="inlineStr">
        <is>
          <t>Office Supplies</t>
        </is>
      </c>
      <c r="F106" s="10" t="inlineStr">
        <is>
          <t>West</t>
        </is>
      </c>
      <c r="G106" s="10" t="n">
        <v>9</v>
      </c>
      <c r="H106" s="11" t="n">
        <v>240</v>
      </c>
      <c r="I106" s="11" t="n">
        <v>110</v>
      </c>
      <c r="J106" s="11">
        <f>G106*H106</f>
        <v/>
      </c>
      <c r="K106" s="11">
        <f>G106*I106</f>
        <v/>
      </c>
      <c r="L106" s="11">
        <f>J106-K106</f>
        <v/>
      </c>
      <c r="M106" s="12">
        <f>(L106/J106)</f>
        <v/>
      </c>
    </row>
    <row r="107">
      <c r="A107" s="10" t="inlineStr">
        <is>
          <t>ORD-2024179</t>
        </is>
      </c>
      <c r="B107" s="10" t="inlineStr">
        <is>
          <t>2024-05-15</t>
        </is>
      </c>
      <c r="C107" s="10" t="inlineStr">
        <is>
          <t>P113</t>
        </is>
      </c>
      <c r="D107" s="10" t="inlineStr">
        <is>
          <t>Laptop Backpack</t>
        </is>
      </c>
      <c r="E107" s="10" t="inlineStr">
        <is>
          <t>Accessories</t>
        </is>
      </c>
      <c r="F107" s="10" t="inlineStr">
        <is>
          <t>West</t>
        </is>
      </c>
      <c r="G107" s="10" t="n">
        <v>10</v>
      </c>
      <c r="H107" s="11" t="n">
        <v>1599</v>
      </c>
      <c r="I107" s="11" t="n">
        <v>820</v>
      </c>
      <c r="J107" s="11">
        <f>G107*H107</f>
        <v/>
      </c>
      <c r="K107" s="11">
        <f>G107*I107</f>
        <v/>
      </c>
      <c r="L107" s="11">
        <f>J107-K107</f>
        <v/>
      </c>
      <c r="M107" s="12">
        <f>(L107/J107)</f>
        <v/>
      </c>
    </row>
    <row r="108">
      <c r="A108" s="10" t="inlineStr">
        <is>
          <t>ORD-2024020</t>
        </is>
      </c>
      <c r="B108" s="10" t="inlineStr">
        <is>
          <t>2024-05-15</t>
        </is>
      </c>
      <c r="C108" s="10" t="inlineStr">
        <is>
          <t>P103</t>
        </is>
      </c>
      <c r="D108" s="10" t="inlineStr">
        <is>
          <t>Mechanical Keyboard</t>
        </is>
      </c>
      <c r="E108" s="10" t="inlineStr">
        <is>
          <t>Electronics</t>
        </is>
      </c>
      <c r="F108" s="10" t="inlineStr">
        <is>
          <t>North</t>
        </is>
      </c>
      <c r="G108" s="10" t="n">
        <v>3</v>
      </c>
      <c r="H108" s="11" t="n">
        <v>2744</v>
      </c>
      <c r="I108" s="11" t="n">
        <v>1850</v>
      </c>
      <c r="J108" s="11">
        <f>G108*H108</f>
        <v/>
      </c>
      <c r="K108" s="11">
        <f>G108*I108</f>
        <v/>
      </c>
      <c r="L108" s="11">
        <f>J108-K108</f>
        <v/>
      </c>
      <c r="M108" s="12">
        <f>(L108/J108)</f>
        <v/>
      </c>
    </row>
    <row r="109">
      <c r="A109" s="10" t="inlineStr">
        <is>
          <t>ORD-2024053</t>
        </is>
      </c>
      <c r="B109" s="10" t="inlineStr">
        <is>
          <t>2024-05-15</t>
        </is>
      </c>
      <c r="C109" s="10" t="inlineStr">
        <is>
          <t>P113</t>
        </is>
      </c>
      <c r="D109" s="10" t="inlineStr">
        <is>
          <t>Laptop Backpack</t>
        </is>
      </c>
      <c r="E109" s="10" t="inlineStr">
        <is>
          <t>Accessories</t>
        </is>
      </c>
      <c r="F109" s="10" t="inlineStr">
        <is>
          <t>West</t>
        </is>
      </c>
      <c r="G109" s="10" t="n">
        <v>5</v>
      </c>
      <c r="H109" s="11" t="n">
        <v>1519.05</v>
      </c>
      <c r="I109" s="11" t="n">
        <v>820</v>
      </c>
      <c r="J109" s="11">
        <f>G109*H109</f>
        <v/>
      </c>
      <c r="K109" s="11">
        <f>G109*I109</f>
        <v/>
      </c>
      <c r="L109" s="11">
        <f>J109-K109</f>
        <v/>
      </c>
      <c r="M109" s="12">
        <f>(L109/J109)</f>
        <v/>
      </c>
    </row>
    <row r="110">
      <c r="A110" s="10" t="inlineStr">
        <is>
          <t>ORD-2024244</t>
        </is>
      </c>
      <c r="B110" s="10" t="inlineStr">
        <is>
          <t>2024-05-15</t>
        </is>
      </c>
      <c r="C110" s="10" t="inlineStr">
        <is>
          <t>P109</t>
        </is>
      </c>
      <c r="D110" s="10" t="inlineStr">
        <is>
          <t>Gel Pen Pack (10x)</t>
        </is>
      </c>
      <c r="E110" s="10" t="inlineStr">
        <is>
          <t>Office Supplies</t>
        </is>
      </c>
      <c r="F110" s="10" t="inlineStr">
        <is>
          <t>North</t>
        </is>
      </c>
      <c r="G110" s="10" t="n">
        <v>6</v>
      </c>
      <c r="H110" s="11" t="n">
        <v>240</v>
      </c>
      <c r="I110" s="11" t="n">
        <v>110</v>
      </c>
      <c r="J110" s="11">
        <f>G110*H110</f>
        <v/>
      </c>
      <c r="K110" s="11">
        <f>G110*I110</f>
        <v/>
      </c>
      <c r="L110" s="11">
        <f>J110-K110</f>
        <v/>
      </c>
      <c r="M110" s="12">
        <f>(L110/J110)</f>
        <v/>
      </c>
    </row>
    <row r="111">
      <c r="A111" s="10" t="inlineStr">
        <is>
          <t>ORD-2024018</t>
        </is>
      </c>
      <c r="B111" s="10" t="inlineStr">
        <is>
          <t>2024-05-17</t>
        </is>
      </c>
      <c r="C111" s="10" t="inlineStr">
        <is>
          <t>P102</t>
        </is>
      </c>
      <c r="D111" s="10" t="inlineStr">
        <is>
          <t>Wireless Mouse</t>
        </is>
      </c>
      <c r="E111" s="10" t="inlineStr">
        <is>
          <t>Electronics</t>
        </is>
      </c>
      <c r="F111" s="10" t="inlineStr">
        <is>
          <t>North</t>
        </is>
      </c>
      <c r="G111" s="10" t="n">
        <v>6</v>
      </c>
      <c r="H111" s="11" t="n">
        <v>750</v>
      </c>
      <c r="I111" s="11" t="n">
        <v>420</v>
      </c>
      <c r="J111" s="11">
        <f>G111*H111</f>
        <v/>
      </c>
      <c r="K111" s="11">
        <f>G111*I111</f>
        <v/>
      </c>
      <c r="L111" s="11">
        <f>J111-K111</f>
        <v/>
      </c>
      <c r="M111" s="12">
        <f>(L111/J111)</f>
        <v/>
      </c>
    </row>
    <row r="112">
      <c r="A112" s="10" t="inlineStr">
        <is>
          <t>ORD-2024147</t>
        </is>
      </c>
      <c r="B112" s="10" t="inlineStr">
        <is>
          <t>2024-05-17</t>
        </is>
      </c>
      <c r="C112" s="10" t="inlineStr">
        <is>
          <t>P106</t>
        </is>
      </c>
      <c r="D112" s="10" t="inlineStr">
        <is>
          <t>Standing Desk</t>
        </is>
      </c>
      <c r="E112" s="10" t="inlineStr">
        <is>
          <t>Furniture</t>
        </is>
      </c>
      <c r="F112" s="10" t="inlineStr">
        <is>
          <t>West</t>
        </is>
      </c>
      <c r="G112" s="10" t="n">
        <v>1</v>
      </c>
      <c r="H112" s="11" t="n">
        <v>18500</v>
      </c>
      <c r="I112" s="11" t="n">
        <v>12500</v>
      </c>
      <c r="J112" s="11">
        <f>G112*H112</f>
        <v/>
      </c>
      <c r="K112" s="11">
        <f>G112*I112</f>
        <v/>
      </c>
      <c r="L112" s="11">
        <f>J112-K112</f>
        <v/>
      </c>
      <c r="M112" s="12">
        <f>(L112/J112)</f>
        <v/>
      </c>
    </row>
    <row r="113">
      <c r="A113" s="10" t="inlineStr">
        <is>
          <t>ORD-2024296</t>
        </is>
      </c>
      <c r="B113" s="10" t="inlineStr">
        <is>
          <t>2024-05-19</t>
        </is>
      </c>
      <c r="C113" s="10" t="inlineStr">
        <is>
          <t>P104</t>
        </is>
      </c>
      <c r="D113" s="10" t="inlineStr">
        <is>
          <t>Noise-Cancelling Headphones</t>
        </is>
      </c>
      <c r="E113" s="10" t="inlineStr">
        <is>
          <t>Electronics</t>
        </is>
      </c>
      <c r="F113" s="10" t="inlineStr">
        <is>
          <t>West</t>
        </is>
      </c>
      <c r="G113" s="10" t="n">
        <v>1</v>
      </c>
      <c r="H113" s="11" t="n">
        <v>5999</v>
      </c>
      <c r="I113" s="11" t="n">
        <v>3600</v>
      </c>
      <c r="J113" s="11">
        <f>G113*H113</f>
        <v/>
      </c>
      <c r="K113" s="11">
        <f>G113*I113</f>
        <v/>
      </c>
      <c r="L113" s="11">
        <f>J113-K113</f>
        <v/>
      </c>
      <c r="M113" s="12">
        <f>(L113/J113)</f>
        <v/>
      </c>
    </row>
    <row r="114">
      <c r="A114" s="10" t="inlineStr">
        <is>
          <t>ORD-2024232</t>
        </is>
      </c>
      <c r="B114" s="10" t="inlineStr">
        <is>
          <t>2024-05-20</t>
        </is>
      </c>
      <c r="C114" s="10" t="inlineStr">
        <is>
          <t>P101</t>
        </is>
      </c>
      <c r="D114" s="10" t="inlineStr">
        <is>
          <t>Laptop Pro 15</t>
        </is>
      </c>
      <c r="E114" s="10" t="inlineStr">
        <is>
          <t>Electronics</t>
        </is>
      </c>
      <c r="F114" s="10" t="inlineStr">
        <is>
          <t>East</t>
        </is>
      </c>
      <c r="G114" s="10" t="n">
        <v>1</v>
      </c>
      <c r="H114" s="11" t="n">
        <v>53900</v>
      </c>
      <c r="I114" s="11" t="n">
        <v>45000</v>
      </c>
      <c r="J114" s="11">
        <f>G114*H114</f>
        <v/>
      </c>
      <c r="K114" s="11">
        <f>G114*I114</f>
        <v/>
      </c>
      <c r="L114" s="11">
        <f>J114-K114</f>
        <v/>
      </c>
      <c r="M114" s="12">
        <f>(L114/J114)</f>
        <v/>
      </c>
    </row>
    <row r="115">
      <c r="A115" s="10" t="inlineStr">
        <is>
          <t>ORD-2024285</t>
        </is>
      </c>
      <c r="B115" s="10" t="inlineStr">
        <is>
          <t>2024-05-22</t>
        </is>
      </c>
      <c r="C115" s="10" t="inlineStr">
        <is>
          <t>P110</t>
        </is>
      </c>
      <c r="D115" s="10" t="inlineStr">
        <is>
          <t>A4 Copier Paper (500s)</t>
        </is>
      </c>
      <c r="E115" s="10" t="inlineStr">
        <is>
          <t>Office Supplies</t>
        </is>
      </c>
      <c r="F115" s="10" t="inlineStr">
        <is>
          <t>North</t>
        </is>
      </c>
      <c r="G115" s="10" t="n">
        <v>7</v>
      </c>
      <c r="H115" s="11" t="n">
        <v>313.6</v>
      </c>
      <c r="I115" s="11" t="n">
        <v>190</v>
      </c>
      <c r="J115" s="11">
        <f>G115*H115</f>
        <v/>
      </c>
      <c r="K115" s="11">
        <f>G115*I115</f>
        <v/>
      </c>
      <c r="L115" s="11">
        <f>J115-K115</f>
        <v/>
      </c>
      <c r="M115" s="12">
        <f>(L115/J115)</f>
        <v/>
      </c>
    </row>
    <row r="116">
      <c r="A116" s="10" t="inlineStr">
        <is>
          <t>ORD-2024102</t>
        </is>
      </c>
      <c r="B116" s="10" t="inlineStr">
        <is>
          <t>2024-05-26</t>
        </is>
      </c>
      <c r="C116" s="10" t="inlineStr">
        <is>
          <t>P104</t>
        </is>
      </c>
      <c r="D116" s="10" t="inlineStr">
        <is>
          <t>Noise-Cancelling Headphones</t>
        </is>
      </c>
      <c r="E116" s="10" t="inlineStr">
        <is>
          <t>Electronics</t>
        </is>
      </c>
      <c r="F116" s="10" t="inlineStr">
        <is>
          <t>South</t>
        </is>
      </c>
      <c r="G116" s="10" t="n">
        <v>3</v>
      </c>
      <c r="H116" s="11" t="n">
        <v>5699.05</v>
      </c>
      <c r="I116" s="11" t="n">
        <v>3600</v>
      </c>
      <c r="J116" s="11">
        <f>G116*H116</f>
        <v/>
      </c>
      <c r="K116" s="11">
        <f>G116*I116</f>
        <v/>
      </c>
      <c r="L116" s="11">
        <f>J116-K116</f>
        <v/>
      </c>
      <c r="M116" s="12">
        <f>(L116/J116)</f>
        <v/>
      </c>
    </row>
    <row r="117">
      <c r="A117" s="10" t="inlineStr">
        <is>
          <t>ORD-2024282</t>
        </is>
      </c>
      <c r="B117" s="10" t="inlineStr">
        <is>
          <t>2024-05-27</t>
        </is>
      </c>
      <c r="C117" s="10" t="inlineStr">
        <is>
          <t>P110</t>
        </is>
      </c>
      <c r="D117" s="10" t="inlineStr">
        <is>
          <t>A4 Copier Paper (500s)</t>
        </is>
      </c>
      <c r="E117" s="10" t="inlineStr">
        <is>
          <t>Office Supplies</t>
        </is>
      </c>
      <c r="F117" s="10" t="inlineStr">
        <is>
          <t>South</t>
        </is>
      </c>
      <c r="G117" s="10" t="n">
        <v>2</v>
      </c>
      <c r="H117" s="11" t="n">
        <v>313.6</v>
      </c>
      <c r="I117" s="11" t="n">
        <v>190</v>
      </c>
      <c r="J117" s="11">
        <f>G117*H117</f>
        <v/>
      </c>
      <c r="K117" s="11">
        <f>G117*I117</f>
        <v/>
      </c>
      <c r="L117" s="11">
        <f>J117-K117</f>
        <v/>
      </c>
      <c r="M117" s="12">
        <f>(L117/J117)</f>
        <v/>
      </c>
    </row>
    <row r="118">
      <c r="A118" s="10" t="inlineStr">
        <is>
          <t>ORD-2024238</t>
        </is>
      </c>
      <c r="B118" s="10" t="inlineStr">
        <is>
          <t>2024-05-31</t>
        </is>
      </c>
      <c r="C118" s="10" t="inlineStr">
        <is>
          <t>P106</t>
        </is>
      </c>
      <c r="D118" s="10" t="inlineStr">
        <is>
          <t>Standing Desk</t>
        </is>
      </c>
      <c r="E118" s="10" t="inlineStr">
        <is>
          <t>Furniture</t>
        </is>
      </c>
      <c r="F118" s="10" t="inlineStr">
        <is>
          <t>West</t>
        </is>
      </c>
      <c r="G118" s="10" t="n">
        <v>2</v>
      </c>
      <c r="H118" s="11" t="n">
        <v>18500</v>
      </c>
      <c r="I118" s="11" t="n">
        <v>12500</v>
      </c>
      <c r="J118" s="11">
        <f>G118*H118</f>
        <v/>
      </c>
      <c r="K118" s="11">
        <f>G118*I118</f>
        <v/>
      </c>
      <c r="L118" s="11">
        <f>J118-K118</f>
        <v/>
      </c>
      <c r="M118" s="12">
        <f>(L118/J118)</f>
        <v/>
      </c>
    </row>
    <row r="119">
      <c r="A119" s="10" t="inlineStr">
        <is>
          <t>ORD-2024162</t>
        </is>
      </c>
      <c r="B119" s="10" t="inlineStr">
        <is>
          <t>2024-05-31</t>
        </is>
      </c>
      <c r="C119" s="10" t="inlineStr">
        <is>
          <t>P104</t>
        </is>
      </c>
      <c r="D119" s="10" t="inlineStr">
        <is>
          <t>Noise-Cancelling Headphones</t>
        </is>
      </c>
      <c r="E119" s="10" t="inlineStr">
        <is>
          <t>Electronics</t>
        </is>
      </c>
      <c r="F119" s="10" t="inlineStr">
        <is>
          <t>South</t>
        </is>
      </c>
      <c r="G119" s="10" t="n">
        <v>3</v>
      </c>
      <c r="H119" s="11" t="n">
        <v>5999</v>
      </c>
      <c r="I119" s="11" t="n">
        <v>3600</v>
      </c>
      <c r="J119" s="11">
        <f>G119*H119</f>
        <v/>
      </c>
      <c r="K119" s="11">
        <f>G119*I119</f>
        <v/>
      </c>
      <c r="L119" s="11">
        <f>J119-K119</f>
        <v/>
      </c>
      <c r="M119" s="12">
        <f>(L119/J119)</f>
        <v/>
      </c>
    </row>
    <row r="120">
      <c r="A120" s="10" t="inlineStr">
        <is>
          <t>ORD-2024241</t>
        </is>
      </c>
      <c r="B120" s="10" t="inlineStr">
        <is>
          <t>2024-05-31</t>
        </is>
      </c>
      <c r="C120" s="10" t="inlineStr">
        <is>
          <t>P112</t>
        </is>
      </c>
      <c r="D120" s="10" t="inlineStr">
        <is>
          <t>USB-C Multiport Hub</t>
        </is>
      </c>
      <c r="E120" s="10" t="inlineStr">
        <is>
          <t>Accessories</t>
        </is>
      </c>
      <c r="F120" s="10" t="inlineStr">
        <is>
          <t>West</t>
        </is>
      </c>
      <c r="G120" s="10" t="n">
        <v>13</v>
      </c>
      <c r="H120" s="11" t="n">
        <v>1999</v>
      </c>
      <c r="I120" s="11" t="n">
        <v>1150</v>
      </c>
      <c r="J120" s="11">
        <f>G120*H120</f>
        <v/>
      </c>
      <c r="K120" s="11">
        <f>G120*I120</f>
        <v/>
      </c>
      <c r="L120" s="11">
        <f>J120-K120</f>
        <v/>
      </c>
      <c r="M120" s="12">
        <f>(L120/J120)</f>
        <v/>
      </c>
    </row>
    <row r="121">
      <c r="A121" s="10" t="inlineStr">
        <is>
          <t>ORD-2024231</t>
        </is>
      </c>
      <c r="B121" s="10" t="inlineStr">
        <is>
          <t>2024-05-31</t>
        </is>
      </c>
      <c r="C121" s="10" t="inlineStr">
        <is>
          <t>P112</t>
        </is>
      </c>
      <c r="D121" s="10" t="inlineStr">
        <is>
          <t>USB-C Multiport Hub</t>
        </is>
      </c>
      <c r="E121" s="10" t="inlineStr">
        <is>
          <t>Accessories</t>
        </is>
      </c>
      <c r="F121" s="10" t="inlineStr">
        <is>
          <t>South</t>
        </is>
      </c>
      <c r="G121" s="10" t="n">
        <v>14</v>
      </c>
      <c r="H121" s="11" t="n">
        <v>1899.05</v>
      </c>
      <c r="I121" s="11" t="n">
        <v>1150</v>
      </c>
      <c r="J121" s="11">
        <f>G121*H121</f>
        <v/>
      </c>
      <c r="K121" s="11">
        <f>G121*I121</f>
        <v/>
      </c>
      <c r="L121" s="11">
        <f>J121-K121</f>
        <v/>
      </c>
      <c r="M121" s="12">
        <f>(L121/J121)</f>
        <v/>
      </c>
    </row>
    <row r="122">
      <c r="A122" s="10" t="inlineStr">
        <is>
          <t>ORD-2024087</t>
        </is>
      </c>
      <c r="B122" s="10" t="inlineStr">
        <is>
          <t>2024-06-05</t>
        </is>
      </c>
      <c r="C122" s="10" t="inlineStr">
        <is>
          <t>P114</t>
        </is>
      </c>
      <c r="D122" s="10" t="inlineStr">
        <is>
          <t>Webcam 1080p HD</t>
        </is>
      </c>
      <c r="E122" s="10" t="inlineStr">
        <is>
          <t>Accessories</t>
        </is>
      </c>
      <c r="F122" s="10" t="inlineStr">
        <is>
          <t>West</t>
        </is>
      </c>
      <c r="G122" s="10" t="n">
        <v>4</v>
      </c>
      <c r="H122" s="11" t="n">
        <v>2450</v>
      </c>
      <c r="I122" s="11" t="n">
        <v>1450</v>
      </c>
      <c r="J122" s="11">
        <f>G122*H122</f>
        <v/>
      </c>
      <c r="K122" s="11">
        <f>G122*I122</f>
        <v/>
      </c>
      <c r="L122" s="11">
        <f>J122-K122</f>
        <v/>
      </c>
      <c r="M122" s="12">
        <f>(L122/J122)</f>
        <v/>
      </c>
    </row>
    <row r="123">
      <c r="A123" s="10" t="inlineStr">
        <is>
          <t>ORD-2024158</t>
        </is>
      </c>
      <c r="B123" s="10" t="inlineStr">
        <is>
          <t>2024-06-05</t>
        </is>
      </c>
      <c r="C123" s="10" t="inlineStr">
        <is>
          <t>P105</t>
        </is>
      </c>
      <c r="D123" s="10" t="inlineStr">
        <is>
          <t>Ergonomic Office Chair</t>
        </is>
      </c>
      <c r="E123" s="10" t="inlineStr">
        <is>
          <t>Furniture</t>
        </is>
      </c>
      <c r="F123" s="10" t="inlineStr">
        <is>
          <t>North</t>
        </is>
      </c>
      <c r="G123" s="10" t="n">
        <v>2</v>
      </c>
      <c r="H123" s="11" t="n">
        <v>9999</v>
      </c>
      <c r="I123" s="11" t="n">
        <v>6800</v>
      </c>
      <c r="J123" s="11">
        <f>G123*H123</f>
        <v/>
      </c>
      <c r="K123" s="11">
        <f>G123*I123</f>
        <v/>
      </c>
      <c r="L123" s="11">
        <f>J123-K123</f>
        <v/>
      </c>
      <c r="M123" s="12">
        <f>(L123/J123)</f>
        <v/>
      </c>
    </row>
    <row r="124">
      <c r="A124" s="10" t="inlineStr">
        <is>
          <t>ORD-2024097</t>
        </is>
      </c>
      <c r="B124" s="10" t="inlineStr">
        <is>
          <t>2024-06-09</t>
        </is>
      </c>
      <c r="C124" s="10" t="inlineStr">
        <is>
          <t>P111</t>
        </is>
      </c>
      <c r="D124" s="10" t="inlineStr">
        <is>
          <t>Desk Organizer Tray</t>
        </is>
      </c>
      <c r="E124" s="10" t="inlineStr">
        <is>
          <t>Office Supplies</t>
        </is>
      </c>
      <c r="F124" s="10" t="inlineStr">
        <is>
          <t>West</t>
        </is>
      </c>
      <c r="G124" s="10" t="n">
        <v>12</v>
      </c>
      <c r="H124" s="11" t="n">
        <v>480</v>
      </c>
      <c r="I124" s="11" t="n">
        <v>260</v>
      </c>
      <c r="J124" s="11">
        <f>G124*H124</f>
        <v/>
      </c>
      <c r="K124" s="11">
        <f>G124*I124</f>
        <v/>
      </c>
      <c r="L124" s="11">
        <f>J124-K124</f>
        <v/>
      </c>
      <c r="M124" s="12">
        <f>(L124/J124)</f>
        <v/>
      </c>
    </row>
    <row r="125">
      <c r="A125" s="10" t="inlineStr">
        <is>
          <t>ORD-2024277</t>
        </is>
      </c>
      <c r="B125" s="10" t="inlineStr">
        <is>
          <t>2024-06-09</t>
        </is>
      </c>
      <c r="C125" s="10" t="inlineStr">
        <is>
          <t>P107</t>
        </is>
      </c>
      <c r="D125" s="10" t="inlineStr">
        <is>
          <t>Bookshelf Cabinet</t>
        </is>
      </c>
      <c r="E125" s="10" t="inlineStr">
        <is>
          <t>Furniture</t>
        </is>
      </c>
      <c r="F125" s="10" t="inlineStr">
        <is>
          <t>South</t>
        </is>
      </c>
      <c r="G125" s="10" t="n">
        <v>3</v>
      </c>
      <c r="H125" s="11" t="n">
        <v>5950</v>
      </c>
      <c r="I125" s="11" t="n">
        <v>4100</v>
      </c>
      <c r="J125" s="11">
        <f>G125*H125</f>
        <v/>
      </c>
      <c r="K125" s="11">
        <f>G125*I125</f>
        <v/>
      </c>
      <c r="L125" s="11">
        <f>J125-K125</f>
        <v/>
      </c>
      <c r="M125" s="12">
        <f>(L125/J125)</f>
        <v/>
      </c>
    </row>
    <row r="126">
      <c r="A126" s="10" t="inlineStr">
        <is>
          <t>ORD-2024093</t>
        </is>
      </c>
      <c r="B126" s="10" t="inlineStr">
        <is>
          <t>2024-06-09</t>
        </is>
      </c>
      <c r="C126" s="10" t="inlineStr">
        <is>
          <t>P107</t>
        </is>
      </c>
      <c r="D126" s="10" t="inlineStr">
        <is>
          <t>Bookshelf Cabinet</t>
        </is>
      </c>
      <c r="E126" s="10" t="inlineStr">
        <is>
          <t>Furniture</t>
        </is>
      </c>
      <c r="F126" s="10" t="inlineStr">
        <is>
          <t>East</t>
        </is>
      </c>
      <c r="G126" s="10" t="n">
        <v>1</v>
      </c>
      <c r="H126" s="11" t="n">
        <v>5652.5</v>
      </c>
      <c r="I126" s="11" t="n">
        <v>4100</v>
      </c>
      <c r="J126" s="11">
        <f>G126*H126</f>
        <v/>
      </c>
      <c r="K126" s="11">
        <f>G126*I126</f>
        <v/>
      </c>
      <c r="L126" s="11">
        <f>J126-K126</f>
        <v/>
      </c>
      <c r="M126" s="12">
        <f>(L126/J126)</f>
        <v/>
      </c>
    </row>
    <row r="127">
      <c r="A127" s="10" t="inlineStr">
        <is>
          <t>ORD-2024064</t>
        </is>
      </c>
      <c r="B127" s="10" t="inlineStr">
        <is>
          <t>2024-06-10</t>
        </is>
      </c>
      <c r="C127" s="10" t="inlineStr">
        <is>
          <t>P113</t>
        </is>
      </c>
      <c r="D127" s="10" t="inlineStr">
        <is>
          <t>Laptop Backpack</t>
        </is>
      </c>
      <c r="E127" s="10" t="inlineStr">
        <is>
          <t>Accessories</t>
        </is>
      </c>
      <c r="F127" s="10" t="inlineStr">
        <is>
          <t>Central</t>
        </is>
      </c>
      <c r="G127" s="10" t="n">
        <v>1</v>
      </c>
      <c r="H127" s="11" t="n">
        <v>1519.05</v>
      </c>
      <c r="I127" s="11" t="n">
        <v>820</v>
      </c>
      <c r="J127" s="11">
        <f>G127*H127</f>
        <v/>
      </c>
      <c r="K127" s="11">
        <f>G127*I127</f>
        <v/>
      </c>
      <c r="L127" s="11">
        <f>J127-K127</f>
        <v/>
      </c>
      <c r="M127" s="12">
        <f>(L127/J127)</f>
        <v/>
      </c>
    </row>
    <row r="128">
      <c r="A128" s="10" t="inlineStr">
        <is>
          <t>ORD-2024117</t>
        </is>
      </c>
      <c r="B128" s="10" t="inlineStr">
        <is>
          <t>2024-06-12</t>
        </is>
      </c>
      <c r="C128" s="10" t="inlineStr">
        <is>
          <t>P109</t>
        </is>
      </c>
      <c r="D128" s="10" t="inlineStr">
        <is>
          <t>Gel Pen Pack (10x)</t>
        </is>
      </c>
      <c r="E128" s="10" t="inlineStr">
        <is>
          <t>Office Supplies</t>
        </is>
      </c>
      <c r="F128" s="10" t="inlineStr">
        <is>
          <t>North</t>
        </is>
      </c>
      <c r="G128" s="10" t="n">
        <v>3</v>
      </c>
      <c r="H128" s="11" t="n">
        <v>240</v>
      </c>
      <c r="I128" s="11" t="n">
        <v>110</v>
      </c>
      <c r="J128" s="11">
        <f>G128*H128</f>
        <v/>
      </c>
      <c r="K128" s="11">
        <f>G128*I128</f>
        <v/>
      </c>
      <c r="L128" s="11">
        <f>J128-K128</f>
        <v/>
      </c>
      <c r="M128" s="12">
        <f>(L128/J128)</f>
        <v/>
      </c>
    </row>
    <row r="129">
      <c r="A129" s="10" t="inlineStr">
        <is>
          <t>ORD-2024271</t>
        </is>
      </c>
      <c r="B129" s="10" t="inlineStr">
        <is>
          <t>2024-06-13</t>
        </is>
      </c>
      <c r="C129" s="10" t="inlineStr">
        <is>
          <t>P110</t>
        </is>
      </c>
      <c r="D129" s="10" t="inlineStr">
        <is>
          <t>A4 Copier Paper (500s)</t>
        </is>
      </c>
      <c r="E129" s="10" t="inlineStr">
        <is>
          <t>Office Supplies</t>
        </is>
      </c>
      <c r="F129" s="10" t="inlineStr">
        <is>
          <t>North</t>
        </is>
      </c>
      <c r="G129" s="10" t="n">
        <v>3</v>
      </c>
      <c r="H129" s="11" t="n">
        <v>320</v>
      </c>
      <c r="I129" s="11" t="n">
        <v>190</v>
      </c>
      <c r="J129" s="11">
        <f>G129*H129</f>
        <v/>
      </c>
      <c r="K129" s="11">
        <f>G129*I129</f>
        <v/>
      </c>
      <c r="L129" s="11">
        <f>J129-K129</f>
        <v/>
      </c>
      <c r="M129" s="12">
        <f>(L129/J129)</f>
        <v/>
      </c>
    </row>
    <row r="130">
      <c r="A130" s="10" t="inlineStr">
        <is>
          <t>ORD-2024264</t>
        </is>
      </c>
      <c r="B130" s="10" t="inlineStr">
        <is>
          <t>2024-06-14</t>
        </is>
      </c>
      <c r="C130" s="10" t="inlineStr">
        <is>
          <t>P101</t>
        </is>
      </c>
      <c r="D130" s="10" t="inlineStr">
        <is>
          <t>Laptop Pro 15</t>
        </is>
      </c>
      <c r="E130" s="10" t="inlineStr">
        <is>
          <t>Electronics</t>
        </is>
      </c>
      <c r="F130" s="10" t="inlineStr">
        <is>
          <t>North</t>
        </is>
      </c>
      <c r="G130" s="10" t="n">
        <v>1</v>
      </c>
      <c r="H130" s="11" t="n">
        <v>55000</v>
      </c>
      <c r="I130" s="11" t="n">
        <v>45000</v>
      </c>
      <c r="J130" s="11">
        <f>G130*H130</f>
        <v/>
      </c>
      <c r="K130" s="11">
        <f>G130*I130</f>
        <v/>
      </c>
      <c r="L130" s="11">
        <f>J130-K130</f>
        <v/>
      </c>
      <c r="M130" s="12">
        <f>(L130/J130)</f>
        <v/>
      </c>
    </row>
    <row r="131">
      <c r="A131" s="10" t="inlineStr">
        <is>
          <t>ORD-2024193</t>
        </is>
      </c>
      <c r="B131" s="10" t="inlineStr">
        <is>
          <t>2024-06-14</t>
        </is>
      </c>
      <c r="C131" s="10" t="inlineStr">
        <is>
          <t>P102</t>
        </is>
      </c>
      <c r="D131" s="10" t="inlineStr">
        <is>
          <t>Wireless Mouse</t>
        </is>
      </c>
      <c r="E131" s="10" t="inlineStr">
        <is>
          <t>Electronics</t>
        </is>
      </c>
      <c r="F131" s="10" t="inlineStr">
        <is>
          <t>Central</t>
        </is>
      </c>
      <c r="G131" s="10" t="n">
        <v>7</v>
      </c>
      <c r="H131" s="11" t="n">
        <v>735</v>
      </c>
      <c r="I131" s="11" t="n">
        <v>420</v>
      </c>
      <c r="J131" s="11">
        <f>G131*H131</f>
        <v/>
      </c>
      <c r="K131" s="11">
        <f>G131*I131</f>
        <v/>
      </c>
      <c r="L131" s="11">
        <f>J131-K131</f>
        <v/>
      </c>
      <c r="M131" s="12">
        <f>(L131/J131)</f>
        <v/>
      </c>
    </row>
    <row r="132">
      <c r="A132" s="10" t="inlineStr">
        <is>
          <t>ORD-2024221</t>
        </is>
      </c>
      <c r="B132" s="10" t="inlineStr">
        <is>
          <t>2024-06-15</t>
        </is>
      </c>
      <c r="C132" s="10" t="inlineStr">
        <is>
          <t>P113</t>
        </is>
      </c>
      <c r="D132" s="10" t="inlineStr">
        <is>
          <t>Laptop Backpack</t>
        </is>
      </c>
      <c r="E132" s="10" t="inlineStr">
        <is>
          <t>Accessories</t>
        </is>
      </c>
      <c r="F132" s="10" t="inlineStr">
        <is>
          <t>North</t>
        </is>
      </c>
      <c r="G132" s="10" t="n">
        <v>6</v>
      </c>
      <c r="H132" s="11" t="n">
        <v>1599</v>
      </c>
      <c r="I132" s="11" t="n">
        <v>820</v>
      </c>
      <c r="J132" s="11">
        <f>G132*H132</f>
        <v/>
      </c>
      <c r="K132" s="11">
        <f>G132*I132</f>
        <v/>
      </c>
      <c r="L132" s="11">
        <f>J132-K132</f>
        <v/>
      </c>
      <c r="M132" s="12">
        <f>(L132/J132)</f>
        <v/>
      </c>
    </row>
    <row r="133">
      <c r="A133" s="10" t="inlineStr">
        <is>
          <t>ORD-2024191</t>
        </is>
      </c>
      <c r="B133" s="10" t="inlineStr">
        <is>
          <t>2024-06-17</t>
        </is>
      </c>
      <c r="C133" s="10" t="inlineStr">
        <is>
          <t>P107</t>
        </is>
      </c>
      <c r="D133" s="10" t="inlineStr">
        <is>
          <t>Bookshelf Cabinet</t>
        </is>
      </c>
      <c r="E133" s="10" t="inlineStr">
        <is>
          <t>Furniture</t>
        </is>
      </c>
      <c r="F133" s="10" t="inlineStr">
        <is>
          <t>East</t>
        </is>
      </c>
      <c r="G133" s="10" t="n">
        <v>3</v>
      </c>
      <c r="H133" s="11" t="n">
        <v>5652.5</v>
      </c>
      <c r="I133" s="11" t="n">
        <v>4100</v>
      </c>
      <c r="J133" s="11">
        <f>G133*H133</f>
        <v/>
      </c>
      <c r="K133" s="11">
        <f>G133*I133</f>
        <v/>
      </c>
      <c r="L133" s="11">
        <f>J133-K133</f>
        <v/>
      </c>
      <c r="M133" s="12">
        <f>(L133/J133)</f>
        <v/>
      </c>
    </row>
    <row r="134">
      <c r="A134" s="10" t="inlineStr">
        <is>
          <t>ORD-2024075</t>
        </is>
      </c>
      <c r="B134" s="10" t="inlineStr">
        <is>
          <t>2024-06-19</t>
        </is>
      </c>
      <c r="C134" s="10" t="inlineStr">
        <is>
          <t>P113</t>
        </is>
      </c>
      <c r="D134" s="10" t="inlineStr">
        <is>
          <t>Laptop Backpack</t>
        </is>
      </c>
      <c r="E134" s="10" t="inlineStr">
        <is>
          <t>Accessories</t>
        </is>
      </c>
      <c r="F134" s="10" t="inlineStr">
        <is>
          <t>North</t>
        </is>
      </c>
      <c r="G134" s="10" t="n">
        <v>5</v>
      </c>
      <c r="H134" s="11" t="n">
        <v>1599</v>
      </c>
      <c r="I134" s="11" t="n">
        <v>820</v>
      </c>
      <c r="J134" s="11">
        <f>G134*H134</f>
        <v/>
      </c>
      <c r="K134" s="11">
        <f>G134*I134</f>
        <v/>
      </c>
      <c r="L134" s="11">
        <f>J134-K134</f>
        <v/>
      </c>
      <c r="M134" s="12">
        <f>(L134/J134)</f>
        <v/>
      </c>
    </row>
    <row r="135">
      <c r="A135" s="10" t="inlineStr">
        <is>
          <t>ORD-2024276</t>
        </is>
      </c>
      <c r="B135" s="10" t="inlineStr">
        <is>
          <t>2024-06-22</t>
        </is>
      </c>
      <c r="C135" s="10" t="inlineStr">
        <is>
          <t>P114</t>
        </is>
      </c>
      <c r="D135" s="10" t="inlineStr">
        <is>
          <t>Webcam 1080p HD</t>
        </is>
      </c>
      <c r="E135" s="10" t="inlineStr">
        <is>
          <t>Accessories</t>
        </is>
      </c>
      <c r="F135" s="10" t="inlineStr">
        <is>
          <t>South</t>
        </is>
      </c>
      <c r="G135" s="10" t="n">
        <v>7</v>
      </c>
      <c r="H135" s="11" t="n">
        <v>2450</v>
      </c>
      <c r="I135" s="11" t="n">
        <v>1450</v>
      </c>
      <c r="J135" s="11">
        <f>G135*H135</f>
        <v/>
      </c>
      <c r="K135" s="11">
        <f>G135*I135</f>
        <v/>
      </c>
      <c r="L135" s="11">
        <f>J135-K135</f>
        <v/>
      </c>
      <c r="M135" s="12">
        <f>(L135/J135)</f>
        <v/>
      </c>
    </row>
    <row r="136">
      <c r="A136" s="10" t="inlineStr">
        <is>
          <t>ORD-2024142</t>
        </is>
      </c>
      <c r="B136" s="10" t="inlineStr">
        <is>
          <t>2024-06-26</t>
        </is>
      </c>
      <c r="C136" s="10" t="inlineStr">
        <is>
          <t>P109</t>
        </is>
      </c>
      <c r="D136" s="10" t="inlineStr">
        <is>
          <t>Gel Pen Pack (10x)</t>
        </is>
      </c>
      <c r="E136" s="10" t="inlineStr">
        <is>
          <t>Office Supplies</t>
        </is>
      </c>
      <c r="F136" s="10" t="inlineStr">
        <is>
          <t>South</t>
        </is>
      </c>
      <c r="G136" s="10" t="n">
        <v>6</v>
      </c>
      <c r="H136" s="11" t="n">
        <v>240</v>
      </c>
      <c r="I136" s="11" t="n">
        <v>110</v>
      </c>
      <c r="J136" s="11">
        <f>G136*H136</f>
        <v/>
      </c>
      <c r="K136" s="11">
        <f>G136*I136</f>
        <v/>
      </c>
      <c r="L136" s="11">
        <f>J136-K136</f>
        <v/>
      </c>
      <c r="M136" s="12">
        <f>(L136/J136)</f>
        <v/>
      </c>
    </row>
    <row r="137">
      <c r="A137" s="10" t="inlineStr">
        <is>
          <t>ORD-2024190</t>
        </is>
      </c>
      <c r="B137" s="10" t="inlineStr">
        <is>
          <t>2024-06-27</t>
        </is>
      </c>
      <c r="C137" s="10" t="inlineStr">
        <is>
          <t>P107</t>
        </is>
      </c>
      <c r="D137" s="10" t="inlineStr">
        <is>
          <t>Bookshelf Cabinet</t>
        </is>
      </c>
      <c r="E137" s="10" t="inlineStr">
        <is>
          <t>Furniture</t>
        </is>
      </c>
      <c r="F137" s="10" t="inlineStr">
        <is>
          <t>South</t>
        </is>
      </c>
      <c r="G137" s="10" t="n">
        <v>1</v>
      </c>
      <c r="H137" s="11" t="n">
        <v>5950</v>
      </c>
      <c r="I137" s="11" t="n">
        <v>4100</v>
      </c>
      <c r="J137" s="11">
        <f>G137*H137</f>
        <v/>
      </c>
      <c r="K137" s="11">
        <f>G137*I137</f>
        <v/>
      </c>
      <c r="L137" s="11">
        <f>J137-K137</f>
        <v/>
      </c>
      <c r="M137" s="12">
        <f>(L137/J137)</f>
        <v/>
      </c>
    </row>
    <row r="138">
      <c r="A138" s="10" t="inlineStr">
        <is>
          <t>ORD-2024289</t>
        </is>
      </c>
      <c r="B138" s="10" t="inlineStr">
        <is>
          <t>2024-06-28</t>
        </is>
      </c>
      <c r="C138" s="10" t="inlineStr">
        <is>
          <t>P101</t>
        </is>
      </c>
      <c r="D138" s="10" t="inlineStr">
        <is>
          <t>Laptop Pro 15</t>
        </is>
      </c>
      <c r="E138" s="10" t="inlineStr">
        <is>
          <t>Electronics</t>
        </is>
      </c>
      <c r="F138" s="10" t="inlineStr">
        <is>
          <t>North</t>
        </is>
      </c>
      <c r="G138" s="10" t="n">
        <v>2</v>
      </c>
      <c r="H138" s="11" t="n">
        <v>53900</v>
      </c>
      <c r="I138" s="11" t="n">
        <v>45000</v>
      </c>
      <c r="J138" s="11">
        <f>G138*H138</f>
        <v/>
      </c>
      <c r="K138" s="11">
        <f>G138*I138</f>
        <v/>
      </c>
      <c r="L138" s="11">
        <f>J138-K138</f>
        <v/>
      </c>
      <c r="M138" s="12">
        <f>(L138/J138)</f>
        <v/>
      </c>
    </row>
    <row r="139">
      <c r="A139" s="10" t="inlineStr">
        <is>
          <t>ORD-2024080</t>
        </is>
      </c>
      <c r="B139" s="10" t="inlineStr">
        <is>
          <t>2024-07-02</t>
        </is>
      </c>
      <c r="C139" s="10" t="inlineStr">
        <is>
          <t>P104</t>
        </is>
      </c>
      <c r="D139" s="10" t="inlineStr">
        <is>
          <t>Noise-Cancelling Headphones</t>
        </is>
      </c>
      <c r="E139" s="10" t="inlineStr">
        <is>
          <t>Electronics</t>
        </is>
      </c>
      <c r="F139" s="10" t="inlineStr">
        <is>
          <t>East</t>
        </is>
      </c>
      <c r="G139" s="10" t="n">
        <v>1</v>
      </c>
      <c r="H139" s="11" t="n">
        <v>5999</v>
      </c>
      <c r="I139" s="11" t="n">
        <v>3600</v>
      </c>
      <c r="J139" s="11">
        <f>G139*H139</f>
        <v/>
      </c>
      <c r="K139" s="11">
        <f>G139*I139</f>
        <v/>
      </c>
      <c r="L139" s="11">
        <f>J139-K139</f>
        <v/>
      </c>
      <c r="M139" s="12">
        <f>(L139/J139)</f>
        <v/>
      </c>
    </row>
    <row r="140">
      <c r="A140" s="10" t="inlineStr">
        <is>
          <t>ORD-2024011</t>
        </is>
      </c>
      <c r="B140" s="10" t="inlineStr">
        <is>
          <t>2024-07-04</t>
        </is>
      </c>
      <c r="C140" s="10" t="inlineStr">
        <is>
          <t>P110</t>
        </is>
      </c>
      <c r="D140" s="10" t="inlineStr">
        <is>
          <t>A4 Copier Paper (500s)</t>
        </is>
      </c>
      <c r="E140" s="10" t="inlineStr">
        <is>
          <t>Office Supplies</t>
        </is>
      </c>
      <c r="F140" s="10" t="inlineStr">
        <is>
          <t>North</t>
        </is>
      </c>
      <c r="G140" s="10" t="n">
        <v>2</v>
      </c>
      <c r="H140" s="11" t="n">
        <v>320</v>
      </c>
      <c r="I140" s="11" t="n">
        <v>190</v>
      </c>
      <c r="J140" s="11">
        <f>G140*H140</f>
        <v/>
      </c>
      <c r="K140" s="11">
        <f>G140*I140</f>
        <v/>
      </c>
      <c r="L140" s="11">
        <f>J140-K140</f>
        <v/>
      </c>
      <c r="M140" s="12">
        <f>(L140/J140)</f>
        <v/>
      </c>
    </row>
    <row r="141">
      <c r="A141" s="10" t="inlineStr">
        <is>
          <t>ORD-2024032</t>
        </is>
      </c>
      <c r="B141" s="10" t="inlineStr">
        <is>
          <t>2024-07-04</t>
        </is>
      </c>
      <c r="C141" s="10" t="inlineStr">
        <is>
          <t>P114</t>
        </is>
      </c>
      <c r="D141" s="10" t="inlineStr">
        <is>
          <t>Webcam 1080p HD</t>
        </is>
      </c>
      <c r="E141" s="10" t="inlineStr">
        <is>
          <t>Accessories</t>
        </is>
      </c>
      <c r="F141" s="10" t="inlineStr">
        <is>
          <t>West</t>
        </is>
      </c>
      <c r="G141" s="10" t="n">
        <v>4</v>
      </c>
      <c r="H141" s="11" t="n">
        <v>2450</v>
      </c>
      <c r="I141" s="11" t="n">
        <v>1450</v>
      </c>
      <c r="J141" s="11">
        <f>G141*H141</f>
        <v/>
      </c>
      <c r="K141" s="11">
        <f>G141*I141</f>
        <v/>
      </c>
      <c r="L141" s="11">
        <f>J141-K141</f>
        <v/>
      </c>
      <c r="M141" s="12">
        <f>(L141/J141)</f>
        <v/>
      </c>
    </row>
    <row r="142">
      <c r="A142" s="10" t="inlineStr">
        <is>
          <t>ORD-2024096</t>
        </is>
      </c>
      <c r="B142" s="10" t="inlineStr">
        <is>
          <t>2024-07-05</t>
        </is>
      </c>
      <c r="C142" s="10" t="inlineStr">
        <is>
          <t>P107</t>
        </is>
      </c>
      <c r="D142" s="10" t="inlineStr">
        <is>
          <t>Bookshelf Cabinet</t>
        </is>
      </c>
      <c r="E142" s="10" t="inlineStr">
        <is>
          <t>Furniture</t>
        </is>
      </c>
      <c r="F142" s="10" t="inlineStr">
        <is>
          <t>North</t>
        </is>
      </c>
      <c r="G142" s="10" t="n">
        <v>3</v>
      </c>
      <c r="H142" s="11" t="n">
        <v>5831</v>
      </c>
      <c r="I142" s="11" t="n">
        <v>4100</v>
      </c>
      <c r="J142" s="11">
        <f>G142*H142</f>
        <v/>
      </c>
      <c r="K142" s="11">
        <f>G142*I142</f>
        <v/>
      </c>
      <c r="L142" s="11">
        <f>J142-K142</f>
        <v/>
      </c>
      <c r="M142" s="12">
        <f>(L142/J142)</f>
        <v/>
      </c>
    </row>
    <row r="143">
      <c r="A143" s="10" t="inlineStr">
        <is>
          <t>ORD-2024156</t>
        </is>
      </c>
      <c r="B143" s="10" t="inlineStr">
        <is>
          <t>2024-07-07</t>
        </is>
      </c>
      <c r="C143" s="10" t="inlineStr">
        <is>
          <t>P108</t>
        </is>
      </c>
      <c r="D143" s="10" t="inlineStr">
        <is>
          <t>Executive Desk Lamp</t>
        </is>
      </c>
      <c r="E143" s="10" t="inlineStr">
        <is>
          <t>Furniture</t>
        </is>
      </c>
      <c r="F143" s="10" t="inlineStr">
        <is>
          <t>East</t>
        </is>
      </c>
      <c r="G143" s="10" t="n">
        <v>6</v>
      </c>
      <c r="H143" s="11" t="n">
        <v>1424.05</v>
      </c>
      <c r="I143" s="11" t="n">
        <v>850</v>
      </c>
      <c r="J143" s="11">
        <f>G143*H143</f>
        <v/>
      </c>
      <c r="K143" s="11">
        <f>G143*I143</f>
        <v/>
      </c>
      <c r="L143" s="11">
        <f>J143-K143</f>
        <v/>
      </c>
      <c r="M143" s="12">
        <f>(L143/J143)</f>
        <v/>
      </c>
    </row>
    <row r="144">
      <c r="A144" s="10" t="inlineStr">
        <is>
          <t>ORD-2024014</t>
        </is>
      </c>
      <c r="B144" s="10" t="inlineStr">
        <is>
          <t>2024-07-08</t>
        </is>
      </c>
      <c r="C144" s="10" t="inlineStr">
        <is>
          <t>P106</t>
        </is>
      </c>
      <c r="D144" s="10" t="inlineStr">
        <is>
          <t>Standing Desk</t>
        </is>
      </c>
      <c r="E144" s="10" t="inlineStr">
        <is>
          <t>Furniture</t>
        </is>
      </c>
      <c r="F144" s="10" t="inlineStr">
        <is>
          <t>North</t>
        </is>
      </c>
      <c r="G144" s="10" t="n">
        <v>3</v>
      </c>
      <c r="H144" s="11" t="n">
        <v>18500</v>
      </c>
      <c r="I144" s="11" t="n">
        <v>12500</v>
      </c>
      <c r="J144" s="11">
        <f>G144*H144</f>
        <v/>
      </c>
      <c r="K144" s="11">
        <f>G144*I144</f>
        <v/>
      </c>
      <c r="L144" s="11">
        <f>J144-K144</f>
        <v/>
      </c>
      <c r="M144" s="12">
        <f>(L144/J144)</f>
        <v/>
      </c>
    </row>
    <row r="145">
      <c r="A145" s="10" t="inlineStr">
        <is>
          <t>ORD-2024030</t>
        </is>
      </c>
      <c r="B145" s="10" t="inlineStr">
        <is>
          <t>2024-07-10</t>
        </is>
      </c>
      <c r="C145" s="10" t="inlineStr">
        <is>
          <t>P113</t>
        </is>
      </c>
      <c r="D145" s="10" t="inlineStr">
        <is>
          <t>Laptop Backpack</t>
        </is>
      </c>
      <c r="E145" s="10" t="inlineStr">
        <is>
          <t>Accessories</t>
        </is>
      </c>
      <c r="F145" s="10" t="inlineStr">
        <is>
          <t>North</t>
        </is>
      </c>
      <c r="G145" s="10" t="n">
        <v>13</v>
      </c>
      <c r="H145" s="11" t="n">
        <v>1567.02</v>
      </c>
      <c r="I145" s="11" t="n">
        <v>820</v>
      </c>
      <c r="J145" s="11">
        <f>G145*H145</f>
        <v/>
      </c>
      <c r="K145" s="11">
        <f>G145*I145</f>
        <v/>
      </c>
      <c r="L145" s="11">
        <f>J145-K145</f>
        <v/>
      </c>
      <c r="M145" s="12">
        <f>(L145/J145)</f>
        <v/>
      </c>
    </row>
    <row r="146">
      <c r="A146" s="10" t="inlineStr">
        <is>
          <t>ORD-2024130</t>
        </is>
      </c>
      <c r="B146" s="10" t="inlineStr">
        <is>
          <t>2024-07-13</t>
        </is>
      </c>
      <c r="C146" s="10" t="inlineStr">
        <is>
          <t>P105</t>
        </is>
      </c>
      <c r="D146" s="10" t="inlineStr">
        <is>
          <t>Ergonomic Office Chair</t>
        </is>
      </c>
      <c r="E146" s="10" t="inlineStr">
        <is>
          <t>Furniture</t>
        </is>
      </c>
      <c r="F146" s="10" t="inlineStr">
        <is>
          <t>West</t>
        </is>
      </c>
      <c r="G146" s="10" t="n">
        <v>4</v>
      </c>
      <c r="H146" s="11" t="n">
        <v>9999</v>
      </c>
      <c r="I146" s="11" t="n">
        <v>6800</v>
      </c>
      <c r="J146" s="11">
        <f>G146*H146</f>
        <v/>
      </c>
      <c r="K146" s="11">
        <f>G146*I146</f>
        <v/>
      </c>
      <c r="L146" s="11">
        <f>J146-K146</f>
        <v/>
      </c>
      <c r="M146" s="12">
        <f>(L146/J146)</f>
        <v/>
      </c>
    </row>
    <row r="147">
      <c r="A147" s="10" t="inlineStr">
        <is>
          <t>ORD-2024129</t>
        </is>
      </c>
      <c r="B147" s="10" t="inlineStr">
        <is>
          <t>2024-07-13</t>
        </is>
      </c>
      <c r="C147" s="10" t="inlineStr">
        <is>
          <t>P106</t>
        </is>
      </c>
      <c r="D147" s="10" t="inlineStr">
        <is>
          <t>Standing Desk</t>
        </is>
      </c>
      <c r="E147" s="10" t="inlineStr">
        <is>
          <t>Furniture</t>
        </is>
      </c>
      <c r="F147" s="10" t="inlineStr">
        <is>
          <t>North</t>
        </is>
      </c>
      <c r="G147" s="10" t="n">
        <v>3</v>
      </c>
      <c r="H147" s="11" t="n">
        <v>18500</v>
      </c>
      <c r="I147" s="11" t="n">
        <v>12500</v>
      </c>
      <c r="J147" s="11">
        <f>G147*H147</f>
        <v/>
      </c>
      <c r="K147" s="11">
        <f>G147*I147</f>
        <v/>
      </c>
      <c r="L147" s="11">
        <f>J147-K147</f>
        <v/>
      </c>
      <c r="M147" s="12">
        <f>(L147/J147)</f>
        <v/>
      </c>
    </row>
    <row r="148">
      <c r="A148" s="10" t="inlineStr">
        <is>
          <t>ORD-2024217</t>
        </is>
      </c>
      <c r="B148" s="10" t="inlineStr">
        <is>
          <t>2024-07-13</t>
        </is>
      </c>
      <c r="C148" s="10" t="inlineStr">
        <is>
          <t>P106</t>
        </is>
      </c>
      <c r="D148" s="10" t="inlineStr">
        <is>
          <t>Standing Desk</t>
        </is>
      </c>
      <c r="E148" s="10" t="inlineStr">
        <is>
          <t>Furniture</t>
        </is>
      </c>
      <c r="F148" s="10" t="inlineStr">
        <is>
          <t>East</t>
        </is>
      </c>
      <c r="G148" s="10" t="n">
        <v>4</v>
      </c>
      <c r="H148" s="11" t="n">
        <v>18130</v>
      </c>
      <c r="I148" s="11" t="n">
        <v>12500</v>
      </c>
      <c r="J148" s="11">
        <f>G148*H148</f>
        <v/>
      </c>
      <c r="K148" s="11">
        <f>G148*I148</f>
        <v/>
      </c>
      <c r="L148" s="11">
        <f>J148-K148</f>
        <v/>
      </c>
      <c r="M148" s="12">
        <f>(L148/J148)</f>
        <v/>
      </c>
    </row>
    <row r="149">
      <c r="A149" s="10" t="inlineStr">
        <is>
          <t>ORD-2024172</t>
        </is>
      </c>
      <c r="B149" s="10" t="inlineStr">
        <is>
          <t>2024-07-13</t>
        </is>
      </c>
      <c r="C149" s="10" t="inlineStr">
        <is>
          <t>P108</t>
        </is>
      </c>
      <c r="D149" s="10" t="inlineStr">
        <is>
          <t>Executive Desk Lamp</t>
        </is>
      </c>
      <c r="E149" s="10" t="inlineStr">
        <is>
          <t>Furniture</t>
        </is>
      </c>
      <c r="F149" s="10" t="inlineStr">
        <is>
          <t>Central</t>
        </is>
      </c>
      <c r="G149" s="10" t="n">
        <v>5</v>
      </c>
      <c r="H149" s="11" t="n">
        <v>1469.02</v>
      </c>
      <c r="I149" s="11" t="n">
        <v>850</v>
      </c>
      <c r="J149" s="11">
        <f>G149*H149</f>
        <v/>
      </c>
      <c r="K149" s="11">
        <f>G149*I149</f>
        <v/>
      </c>
      <c r="L149" s="11">
        <f>J149-K149</f>
        <v/>
      </c>
      <c r="M149" s="12">
        <f>(L149/J149)</f>
        <v/>
      </c>
    </row>
    <row r="150">
      <c r="A150" s="10" t="inlineStr">
        <is>
          <t>ORD-2024273</t>
        </is>
      </c>
      <c r="B150" s="10" t="inlineStr">
        <is>
          <t>2024-07-14</t>
        </is>
      </c>
      <c r="C150" s="10" t="inlineStr">
        <is>
          <t>P110</t>
        </is>
      </c>
      <c r="D150" s="10" t="inlineStr">
        <is>
          <t>A4 Copier Paper (500s)</t>
        </is>
      </c>
      <c r="E150" s="10" t="inlineStr">
        <is>
          <t>Office Supplies</t>
        </is>
      </c>
      <c r="F150" s="10" t="inlineStr">
        <is>
          <t>East</t>
        </is>
      </c>
      <c r="G150" s="10" t="n">
        <v>8</v>
      </c>
      <c r="H150" s="11" t="n">
        <v>313.6</v>
      </c>
      <c r="I150" s="11" t="n">
        <v>190</v>
      </c>
      <c r="J150" s="11">
        <f>G150*H150</f>
        <v/>
      </c>
      <c r="K150" s="11">
        <f>G150*I150</f>
        <v/>
      </c>
      <c r="L150" s="11">
        <f>J150-K150</f>
        <v/>
      </c>
      <c r="M150" s="12">
        <f>(L150/J150)</f>
        <v/>
      </c>
    </row>
    <row r="151">
      <c r="A151" s="10" t="inlineStr">
        <is>
          <t>ORD-2024118</t>
        </is>
      </c>
      <c r="B151" s="10" t="inlineStr">
        <is>
          <t>2024-07-15</t>
        </is>
      </c>
      <c r="C151" s="10" t="inlineStr">
        <is>
          <t>P112</t>
        </is>
      </c>
      <c r="D151" s="10" t="inlineStr">
        <is>
          <t>USB-C Multiport Hub</t>
        </is>
      </c>
      <c r="E151" s="10" t="inlineStr">
        <is>
          <t>Accessories</t>
        </is>
      </c>
      <c r="F151" s="10" t="inlineStr">
        <is>
          <t>North</t>
        </is>
      </c>
      <c r="G151" s="10" t="n">
        <v>4</v>
      </c>
      <c r="H151" s="11" t="n">
        <v>1999</v>
      </c>
      <c r="I151" s="11" t="n">
        <v>1150</v>
      </c>
      <c r="J151" s="11">
        <f>G151*H151</f>
        <v/>
      </c>
      <c r="K151" s="11">
        <f>G151*I151</f>
        <v/>
      </c>
      <c r="L151" s="11">
        <f>J151-K151</f>
        <v/>
      </c>
      <c r="M151" s="12">
        <f>(L151/J151)</f>
        <v/>
      </c>
    </row>
    <row r="152">
      <c r="A152" s="10" t="inlineStr">
        <is>
          <t>ORD-2024063</t>
        </is>
      </c>
      <c r="B152" s="10" t="inlineStr">
        <is>
          <t>2024-07-21</t>
        </is>
      </c>
      <c r="C152" s="10" t="inlineStr">
        <is>
          <t>P103</t>
        </is>
      </c>
      <c r="D152" s="10" t="inlineStr">
        <is>
          <t>Mechanical Keyboard</t>
        </is>
      </c>
      <c r="E152" s="10" t="inlineStr">
        <is>
          <t>Electronics</t>
        </is>
      </c>
      <c r="F152" s="10" t="inlineStr">
        <is>
          <t>East</t>
        </is>
      </c>
      <c r="G152" s="10" t="n">
        <v>3</v>
      </c>
      <c r="H152" s="11" t="n">
        <v>2660</v>
      </c>
      <c r="I152" s="11" t="n">
        <v>1850</v>
      </c>
      <c r="J152" s="11">
        <f>G152*H152</f>
        <v/>
      </c>
      <c r="K152" s="11">
        <f>G152*I152</f>
        <v/>
      </c>
      <c r="L152" s="11">
        <f>J152-K152</f>
        <v/>
      </c>
      <c r="M152" s="12">
        <f>(L152/J152)</f>
        <v/>
      </c>
    </row>
    <row r="153">
      <c r="A153" s="10" t="inlineStr">
        <is>
          <t>ORD-2024256</t>
        </is>
      </c>
      <c r="B153" s="10" t="inlineStr">
        <is>
          <t>2024-07-22</t>
        </is>
      </c>
      <c r="C153" s="10" t="inlineStr">
        <is>
          <t>P105</t>
        </is>
      </c>
      <c r="D153" s="10" t="inlineStr">
        <is>
          <t>Ergonomic Office Chair</t>
        </is>
      </c>
      <c r="E153" s="10" t="inlineStr">
        <is>
          <t>Furniture</t>
        </is>
      </c>
      <c r="F153" s="10" t="inlineStr">
        <is>
          <t>North</t>
        </is>
      </c>
      <c r="G153" s="10" t="n">
        <v>1</v>
      </c>
      <c r="H153" s="11" t="n">
        <v>9499.049999999999</v>
      </c>
      <c r="I153" s="11" t="n">
        <v>6800</v>
      </c>
      <c r="J153" s="11">
        <f>G153*H153</f>
        <v/>
      </c>
      <c r="K153" s="11">
        <f>G153*I153</f>
        <v/>
      </c>
      <c r="L153" s="11">
        <f>J153-K153</f>
        <v/>
      </c>
      <c r="M153" s="12">
        <f>(L153/J153)</f>
        <v/>
      </c>
    </row>
    <row r="154">
      <c r="A154" s="10" t="inlineStr">
        <is>
          <t>ORD-2024090</t>
        </is>
      </c>
      <c r="B154" s="10" t="inlineStr">
        <is>
          <t>2024-07-23</t>
        </is>
      </c>
      <c r="C154" s="10" t="inlineStr">
        <is>
          <t>P111</t>
        </is>
      </c>
      <c r="D154" s="10" t="inlineStr">
        <is>
          <t>Desk Organizer Tray</t>
        </is>
      </c>
      <c r="E154" s="10" t="inlineStr">
        <is>
          <t>Office Supplies</t>
        </is>
      </c>
      <c r="F154" s="10" t="inlineStr">
        <is>
          <t>Central</t>
        </is>
      </c>
      <c r="G154" s="10" t="n">
        <v>9</v>
      </c>
      <c r="H154" s="11" t="n">
        <v>480</v>
      </c>
      <c r="I154" s="11" t="n">
        <v>260</v>
      </c>
      <c r="J154" s="11">
        <f>G154*H154</f>
        <v/>
      </c>
      <c r="K154" s="11">
        <f>G154*I154</f>
        <v/>
      </c>
      <c r="L154" s="11">
        <f>J154-K154</f>
        <v/>
      </c>
      <c r="M154" s="12">
        <f>(L154/J154)</f>
        <v/>
      </c>
    </row>
    <row r="155">
      <c r="A155" s="10" t="inlineStr">
        <is>
          <t>ORD-2024052</t>
        </is>
      </c>
      <c r="B155" s="10" t="inlineStr">
        <is>
          <t>2024-07-24</t>
        </is>
      </c>
      <c r="C155" s="10" t="inlineStr">
        <is>
          <t>P101</t>
        </is>
      </c>
      <c r="D155" s="10" t="inlineStr">
        <is>
          <t>Laptop Pro 15</t>
        </is>
      </c>
      <c r="E155" s="10" t="inlineStr">
        <is>
          <t>Electronics</t>
        </is>
      </c>
      <c r="F155" s="10" t="inlineStr">
        <is>
          <t>North</t>
        </is>
      </c>
      <c r="G155" s="10" t="n">
        <v>1</v>
      </c>
      <c r="H155" s="11" t="n">
        <v>52250</v>
      </c>
      <c r="I155" s="11" t="n">
        <v>45000</v>
      </c>
      <c r="J155" s="11">
        <f>G155*H155</f>
        <v/>
      </c>
      <c r="K155" s="11">
        <f>G155*I155</f>
        <v/>
      </c>
      <c r="L155" s="11">
        <f>J155-K155</f>
        <v/>
      </c>
      <c r="M155" s="12">
        <f>(L155/J155)</f>
        <v/>
      </c>
    </row>
    <row r="156">
      <c r="A156" s="10" t="inlineStr">
        <is>
          <t>ORD-2024155</t>
        </is>
      </c>
      <c r="B156" s="10" t="inlineStr">
        <is>
          <t>2024-07-26</t>
        </is>
      </c>
      <c r="C156" s="10" t="inlineStr">
        <is>
          <t>P112</t>
        </is>
      </c>
      <c r="D156" s="10" t="inlineStr">
        <is>
          <t>USB-C Multiport Hub</t>
        </is>
      </c>
      <c r="E156" s="10" t="inlineStr">
        <is>
          <t>Accessories</t>
        </is>
      </c>
      <c r="F156" s="10" t="inlineStr">
        <is>
          <t>North</t>
        </is>
      </c>
      <c r="G156" s="10" t="n">
        <v>11</v>
      </c>
      <c r="H156" s="11" t="n">
        <v>1959.02</v>
      </c>
      <c r="I156" s="11" t="n">
        <v>1150</v>
      </c>
      <c r="J156" s="11">
        <f>G156*H156</f>
        <v/>
      </c>
      <c r="K156" s="11">
        <f>G156*I156</f>
        <v/>
      </c>
      <c r="L156" s="11">
        <f>J156-K156</f>
        <v/>
      </c>
      <c r="M156" s="12">
        <f>(L156/J156)</f>
        <v/>
      </c>
    </row>
    <row r="157">
      <c r="A157" s="10" t="inlineStr">
        <is>
          <t>ORD-2024253</t>
        </is>
      </c>
      <c r="B157" s="10" t="inlineStr">
        <is>
          <t>2024-07-27</t>
        </is>
      </c>
      <c r="C157" s="10" t="inlineStr">
        <is>
          <t>P105</t>
        </is>
      </c>
      <c r="D157" s="10" t="inlineStr">
        <is>
          <t>Ergonomic Office Chair</t>
        </is>
      </c>
      <c r="E157" s="10" t="inlineStr">
        <is>
          <t>Furniture</t>
        </is>
      </c>
      <c r="F157" s="10" t="inlineStr">
        <is>
          <t>North</t>
        </is>
      </c>
      <c r="G157" s="10" t="n">
        <v>3</v>
      </c>
      <c r="H157" s="11" t="n">
        <v>9999</v>
      </c>
      <c r="I157" s="11" t="n">
        <v>6800</v>
      </c>
      <c r="J157" s="11">
        <f>G157*H157</f>
        <v/>
      </c>
      <c r="K157" s="11">
        <f>G157*I157</f>
        <v/>
      </c>
      <c r="L157" s="11">
        <f>J157-K157</f>
        <v/>
      </c>
      <c r="M157" s="12">
        <f>(L157/J157)</f>
        <v/>
      </c>
    </row>
    <row r="158">
      <c r="A158" s="10" t="inlineStr">
        <is>
          <t>ORD-2024046</t>
        </is>
      </c>
      <c r="B158" s="10" t="inlineStr">
        <is>
          <t>2024-07-29</t>
        </is>
      </c>
      <c r="C158" s="10" t="inlineStr">
        <is>
          <t>P108</t>
        </is>
      </c>
      <c r="D158" s="10" t="inlineStr">
        <is>
          <t>Executive Desk Lamp</t>
        </is>
      </c>
      <c r="E158" s="10" t="inlineStr">
        <is>
          <t>Furniture</t>
        </is>
      </c>
      <c r="F158" s="10" t="inlineStr">
        <is>
          <t>West</t>
        </is>
      </c>
      <c r="G158" s="10" t="n">
        <v>1</v>
      </c>
      <c r="H158" s="11" t="n">
        <v>1499</v>
      </c>
      <c r="I158" s="11" t="n">
        <v>850</v>
      </c>
      <c r="J158" s="11">
        <f>G158*H158</f>
        <v/>
      </c>
      <c r="K158" s="11">
        <f>G158*I158</f>
        <v/>
      </c>
      <c r="L158" s="11">
        <f>J158-K158</f>
        <v/>
      </c>
      <c r="M158" s="12">
        <f>(L158/J158)</f>
        <v/>
      </c>
    </row>
    <row r="159">
      <c r="A159" s="10" t="inlineStr">
        <is>
          <t>ORD-2024281</t>
        </is>
      </c>
      <c r="B159" s="10" t="inlineStr">
        <is>
          <t>2024-07-29</t>
        </is>
      </c>
      <c r="C159" s="10" t="inlineStr">
        <is>
          <t>P106</t>
        </is>
      </c>
      <c r="D159" s="10" t="inlineStr">
        <is>
          <t>Standing Desk</t>
        </is>
      </c>
      <c r="E159" s="10" t="inlineStr">
        <is>
          <t>Furniture</t>
        </is>
      </c>
      <c r="F159" s="10" t="inlineStr">
        <is>
          <t>West</t>
        </is>
      </c>
      <c r="G159" s="10" t="n">
        <v>4</v>
      </c>
      <c r="H159" s="11" t="n">
        <v>18500</v>
      </c>
      <c r="I159" s="11" t="n">
        <v>12500</v>
      </c>
      <c r="J159" s="11">
        <f>G159*H159</f>
        <v/>
      </c>
      <c r="K159" s="11">
        <f>G159*I159</f>
        <v/>
      </c>
      <c r="L159" s="11">
        <f>J159-K159</f>
        <v/>
      </c>
      <c r="M159" s="12">
        <f>(L159/J159)</f>
        <v/>
      </c>
    </row>
    <row r="160">
      <c r="A160" s="10" t="inlineStr">
        <is>
          <t>ORD-2024083</t>
        </is>
      </c>
      <c r="B160" s="10" t="inlineStr">
        <is>
          <t>2024-07-30</t>
        </is>
      </c>
      <c r="C160" s="10" t="inlineStr">
        <is>
          <t>P101</t>
        </is>
      </c>
      <c r="D160" s="10" t="inlineStr">
        <is>
          <t>Laptop Pro 15</t>
        </is>
      </c>
      <c r="E160" s="10" t="inlineStr">
        <is>
          <t>Electronics</t>
        </is>
      </c>
      <c r="F160" s="10" t="inlineStr">
        <is>
          <t>North</t>
        </is>
      </c>
      <c r="G160" s="10" t="n">
        <v>3</v>
      </c>
      <c r="H160" s="11" t="n">
        <v>52250</v>
      </c>
      <c r="I160" s="11" t="n">
        <v>45000</v>
      </c>
      <c r="J160" s="11">
        <f>G160*H160</f>
        <v/>
      </c>
      <c r="K160" s="11">
        <f>G160*I160</f>
        <v/>
      </c>
      <c r="L160" s="11">
        <f>J160-K160</f>
        <v/>
      </c>
      <c r="M160" s="12">
        <f>(L160/J160)</f>
        <v/>
      </c>
    </row>
    <row r="161">
      <c r="A161" s="10" t="inlineStr">
        <is>
          <t>ORD-2024119</t>
        </is>
      </c>
      <c r="B161" s="10" t="inlineStr">
        <is>
          <t>2024-07-31</t>
        </is>
      </c>
      <c r="C161" s="10" t="inlineStr">
        <is>
          <t>P107</t>
        </is>
      </c>
      <c r="D161" s="10" t="inlineStr">
        <is>
          <t>Bookshelf Cabinet</t>
        </is>
      </c>
      <c r="E161" s="10" t="inlineStr">
        <is>
          <t>Furniture</t>
        </is>
      </c>
      <c r="F161" s="10" t="inlineStr">
        <is>
          <t>South</t>
        </is>
      </c>
      <c r="G161" s="10" t="n">
        <v>4</v>
      </c>
      <c r="H161" s="11" t="n">
        <v>5652.5</v>
      </c>
      <c r="I161" s="11" t="n">
        <v>4100</v>
      </c>
      <c r="J161" s="11">
        <f>G161*H161</f>
        <v/>
      </c>
      <c r="K161" s="11">
        <f>G161*I161</f>
        <v/>
      </c>
      <c r="L161" s="11">
        <f>J161-K161</f>
        <v/>
      </c>
      <c r="M161" s="12">
        <f>(L161/J161)</f>
        <v/>
      </c>
    </row>
    <row r="162">
      <c r="A162" s="10" t="inlineStr">
        <is>
          <t>ORD-2024005</t>
        </is>
      </c>
      <c r="B162" s="10" t="inlineStr">
        <is>
          <t>2024-08-02</t>
        </is>
      </c>
      <c r="C162" s="10" t="inlineStr">
        <is>
          <t>P104</t>
        </is>
      </c>
      <c r="D162" s="10" t="inlineStr">
        <is>
          <t>Noise-Cancelling Headphones</t>
        </is>
      </c>
      <c r="E162" s="10" t="inlineStr">
        <is>
          <t>Electronics</t>
        </is>
      </c>
      <c r="F162" s="10" t="inlineStr">
        <is>
          <t>South</t>
        </is>
      </c>
      <c r="G162" s="10" t="n">
        <v>3</v>
      </c>
      <c r="H162" s="11" t="n">
        <v>5999</v>
      </c>
      <c r="I162" s="11" t="n">
        <v>3600</v>
      </c>
      <c r="J162" s="11">
        <f>G162*H162</f>
        <v/>
      </c>
      <c r="K162" s="11">
        <f>G162*I162</f>
        <v/>
      </c>
      <c r="L162" s="11">
        <f>J162-K162</f>
        <v/>
      </c>
      <c r="M162" s="12">
        <f>(L162/J162)</f>
        <v/>
      </c>
    </row>
    <row r="163">
      <c r="A163" s="10" t="inlineStr">
        <is>
          <t>ORD-2024265</t>
        </is>
      </c>
      <c r="B163" s="10" t="inlineStr">
        <is>
          <t>2024-08-03</t>
        </is>
      </c>
      <c r="C163" s="10" t="inlineStr">
        <is>
          <t>P109</t>
        </is>
      </c>
      <c r="D163" s="10" t="inlineStr">
        <is>
          <t>Gel Pen Pack (10x)</t>
        </is>
      </c>
      <c r="E163" s="10" t="inlineStr">
        <is>
          <t>Office Supplies</t>
        </is>
      </c>
      <c r="F163" s="10" t="inlineStr">
        <is>
          <t>North</t>
        </is>
      </c>
      <c r="G163" s="10" t="n">
        <v>2</v>
      </c>
      <c r="H163" s="11" t="n">
        <v>228</v>
      </c>
      <c r="I163" s="11" t="n">
        <v>110</v>
      </c>
      <c r="J163" s="11">
        <f>G163*H163</f>
        <v/>
      </c>
      <c r="K163" s="11">
        <f>G163*I163</f>
        <v/>
      </c>
      <c r="L163" s="11">
        <f>J163-K163</f>
        <v/>
      </c>
      <c r="M163" s="12">
        <f>(L163/J163)</f>
        <v/>
      </c>
    </row>
    <row r="164">
      <c r="A164" s="10" t="inlineStr">
        <is>
          <t>ORD-2024003</t>
        </is>
      </c>
      <c r="B164" s="10" t="inlineStr">
        <is>
          <t>2024-08-04</t>
        </is>
      </c>
      <c r="C164" s="10" t="inlineStr">
        <is>
          <t>P101</t>
        </is>
      </c>
      <c r="D164" s="10" t="inlineStr">
        <is>
          <t>Laptop Pro 15</t>
        </is>
      </c>
      <c r="E164" s="10" t="inlineStr">
        <is>
          <t>Electronics</t>
        </is>
      </c>
      <c r="F164" s="10" t="inlineStr">
        <is>
          <t>North</t>
        </is>
      </c>
      <c r="G164" s="10" t="n">
        <v>2</v>
      </c>
      <c r="H164" s="11" t="n">
        <v>55000</v>
      </c>
      <c r="I164" s="11" t="n">
        <v>45000</v>
      </c>
      <c r="J164" s="11">
        <f>G164*H164</f>
        <v/>
      </c>
      <c r="K164" s="11">
        <f>G164*I164</f>
        <v/>
      </c>
      <c r="L164" s="11">
        <f>J164-K164</f>
        <v/>
      </c>
      <c r="M164" s="12">
        <f>(L164/J164)</f>
        <v/>
      </c>
    </row>
    <row r="165">
      <c r="A165" s="10" t="inlineStr">
        <is>
          <t>ORD-2024109</t>
        </is>
      </c>
      <c r="B165" s="10" t="inlineStr">
        <is>
          <t>2024-08-05</t>
        </is>
      </c>
      <c r="C165" s="10" t="inlineStr">
        <is>
          <t>P104</t>
        </is>
      </c>
      <c r="D165" s="10" t="inlineStr">
        <is>
          <t>Noise-Cancelling Headphones</t>
        </is>
      </c>
      <c r="E165" s="10" t="inlineStr">
        <is>
          <t>Electronics</t>
        </is>
      </c>
      <c r="F165" s="10" t="inlineStr">
        <is>
          <t>North</t>
        </is>
      </c>
      <c r="G165" s="10" t="n">
        <v>4</v>
      </c>
      <c r="H165" s="11" t="n">
        <v>5999</v>
      </c>
      <c r="I165" s="11" t="n">
        <v>3600</v>
      </c>
      <c r="J165" s="11">
        <f>G165*H165</f>
        <v/>
      </c>
      <c r="K165" s="11">
        <f>G165*I165</f>
        <v/>
      </c>
      <c r="L165" s="11">
        <f>J165-K165</f>
        <v/>
      </c>
      <c r="M165" s="12">
        <f>(L165/J165)</f>
        <v/>
      </c>
    </row>
    <row r="166">
      <c r="A166" s="10" t="inlineStr">
        <is>
          <t>ORD-2024180</t>
        </is>
      </c>
      <c r="B166" s="10" t="inlineStr">
        <is>
          <t>2024-08-05</t>
        </is>
      </c>
      <c r="C166" s="10" t="inlineStr">
        <is>
          <t>P102</t>
        </is>
      </c>
      <c r="D166" s="10" t="inlineStr">
        <is>
          <t>Wireless Mouse</t>
        </is>
      </c>
      <c r="E166" s="10" t="inlineStr">
        <is>
          <t>Electronics</t>
        </is>
      </c>
      <c r="F166" s="10" t="inlineStr">
        <is>
          <t>East</t>
        </is>
      </c>
      <c r="G166" s="10" t="n">
        <v>3</v>
      </c>
      <c r="H166" s="11" t="n">
        <v>750</v>
      </c>
      <c r="I166" s="11" t="n">
        <v>420</v>
      </c>
      <c r="J166" s="11">
        <f>G166*H166</f>
        <v/>
      </c>
      <c r="K166" s="11">
        <f>G166*I166</f>
        <v/>
      </c>
      <c r="L166" s="11">
        <f>J166-K166</f>
        <v/>
      </c>
      <c r="M166" s="12">
        <f>(L166/J166)</f>
        <v/>
      </c>
    </row>
    <row r="167">
      <c r="A167" s="10" t="inlineStr">
        <is>
          <t>ORD-2024173</t>
        </is>
      </c>
      <c r="B167" s="10" t="inlineStr">
        <is>
          <t>2024-08-07</t>
        </is>
      </c>
      <c r="C167" s="10" t="inlineStr">
        <is>
          <t>P105</t>
        </is>
      </c>
      <c r="D167" s="10" t="inlineStr">
        <is>
          <t>Ergonomic Office Chair</t>
        </is>
      </c>
      <c r="E167" s="10" t="inlineStr">
        <is>
          <t>Furniture</t>
        </is>
      </c>
      <c r="F167" s="10" t="inlineStr">
        <is>
          <t>East</t>
        </is>
      </c>
      <c r="G167" s="10" t="n">
        <v>1</v>
      </c>
      <c r="H167" s="11" t="n">
        <v>9799.02</v>
      </c>
      <c r="I167" s="11" t="n">
        <v>6800</v>
      </c>
      <c r="J167" s="11">
        <f>G167*H167</f>
        <v/>
      </c>
      <c r="K167" s="11">
        <f>G167*I167</f>
        <v/>
      </c>
      <c r="L167" s="11">
        <f>J167-K167</f>
        <v/>
      </c>
      <c r="M167" s="12">
        <f>(L167/J167)</f>
        <v/>
      </c>
    </row>
    <row r="168">
      <c r="A168" s="10" t="inlineStr">
        <is>
          <t>ORD-2024021</t>
        </is>
      </c>
      <c r="B168" s="10" t="inlineStr">
        <is>
          <t>2024-08-07</t>
        </is>
      </c>
      <c r="C168" s="10" t="inlineStr">
        <is>
          <t>P110</t>
        </is>
      </c>
      <c r="D168" s="10" t="inlineStr">
        <is>
          <t>A4 Copier Paper (500s)</t>
        </is>
      </c>
      <c r="E168" s="10" t="inlineStr">
        <is>
          <t>Office Supplies</t>
        </is>
      </c>
      <c r="F168" s="10" t="inlineStr">
        <is>
          <t>South</t>
        </is>
      </c>
      <c r="G168" s="10" t="n">
        <v>4</v>
      </c>
      <c r="H168" s="11" t="n">
        <v>320</v>
      </c>
      <c r="I168" s="11" t="n">
        <v>190</v>
      </c>
      <c r="J168" s="11">
        <f>G168*H168</f>
        <v/>
      </c>
      <c r="K168" s="11">
        <f>G168*I168</f>
        <v/>
      </c>
      <c r="L168" s="11">
        <f>J168-K168</f>
        <v/>
      </c>
      <c r="M168" s="12">
        <f>(L168/J168)</f>
        <v/>
      </c>
    </row>
    <row r="169">
      <c r="A169" s="10" t="inlineStr">
        <is>
          <t>ORD-2024079</t>
        </is>
      </c>
      <c r="B169" s="10" t="inlineStr">
        <is>
          <t>2024-08-08</t>
        </is>
      </c>
      <c r="C169" s="10" t="inlineStr">
        <is>
          <t>P103</t>
        </is>
      </c>
      <c r="D169" s="10" t="inlineStr">
        <is>
          <t>Mechanical Keyboard</t>
        </is>
      </c>
      <c r="E169" s="10" t="inlineStr">
        <is>
          <t>Electronics</t>
        </is>
      </c>
      <c r="F169" s="10" t="inlineStr">
        <is>
          <t>North</t>
        </is>
      </c>
      <c r="G169" s="10" t="n">
        <v>3</v>
      </c>
      <c r="H169" s="11" t="n">
        <v>2800</v>
      </c>
      <c r="I169" s="11" t="n">
        <v>1850</v>
      </c>
      <c r="J169" s="11">
        <f>G169*H169</f>
        <v/>
      </c>
      <c r="K169" s="11">
        <f>G169*I169</f>
        <v/>
      </c>
      <c r="L169" s="11">
        <f>J169-K169</f>
        <v/>
      </c>
      <c r="M169" s="12">
        <f>(L169/J169)</f>
        <v/>
      </c>
    </row>
    <row r="170">
      <c r="A170" s="10" t="inlineStr">
        <is>
          <t>ORD-2024297</t>
        </is>
      </c>
      <c r="B170" s="10" t="inlineStr">
        <is>
          <t>2024-08-08</t>
        </is>
      </c>
      <c r="C170" s="10" t="inlineStr">
        <is>
          <t>P102</t>
        </is>
      </c>
      <c r="D170" s="10" t="inlineStr">
        <is>
          <t>Wireless Mouse</t>
        </is>
      </c>
      <c r="E170" s="10" t="inlineStr">
        <is>
          <t>Electronics</t>
        </is>
      </c>
      <c r="F170" s="10" t="inlineStr">
        <is>
          <t>South</t>
        </is>
      </c>
      <c r="G170" s="10" t="n">
        <v>8</v>
      </c>
      <c r="H170" s="11" t="n">
        <v>735</v>
      </c>
      <c r="I170" s="11" t="n">
        <v>420</v>
      </c>
      <c r="J170" s="11">
        <f>G170*H170</f>
        <v/>
      </c>
      <c r="K170" s="11">
        <f>G170*I170</f>
        <v/>
      </c>
      <c r="L170" s="11">
        <f>J170-K170</f>
        <v/>
      </c>
      <c r="M170" s="12">
        <f>(L170/J170)</f>
        <v/>
      </c>
    </row>
    <row r="171">
      <c r="A171" s="10" t="inlineStr">
        <is>
          <t>ORD-2024222</t>
        </is>
      </c>
      <c r="B171" s="10" t="inlineStr">
        <is>
          <t>2024-08-08</t>
        </is>
      </c>
      <c r="C171" s="10" t="inlineStr">
        <is>
          <t>P103</t>
        </is>
      </c>
      <c r="D171" s="10" t="inlineStr">
        <is>
          <t>Mechanical Keyboard</t>
        </is>
      </c>
      <c r="E171" s="10" t="inlineStr">
        <is>
          <t>Electronics</t>
        </is>
      </c>
      <c r="F171" s="10" t="inlineStr">
        <is>
          <t>North</t>
        </is>
      </c>
      <c r="G171" s="10" t="n">
        <v>4</v>
      </c>
      <c r="H171" s="11" t="n">
        <v>2744</v>
      </c>
      <c r="I171" s="11" t="n">
        <v>1850</v>
      </c>
      <c r="J171" s="11">
        <f>G171*H171</f>
        <v/>
      </c>
      <c r="K171" s="11">
        <f>G171*I171</f>
        <v/>
      </c>
      <c r="L171" s="11">
        <f>J171-K171</f>
        <v/>
      </c>
      <c r="M171" s="12">
        <f>(L171/J171)</f>
        <v/>
      </c>
    </row>
    <row r="172">
      <c r="A172" s="10" t="inlineStr">
        <is>
          <t>ORD-2024189</t>
        </is>
      </c>
      <c r="B172" s="10" t="inlineStr">
        <is>
          <t>2024-08-11</t>
        </is>
      </c>
      <c r="C172" s="10" t="inlineStr">
        <is>
          <t>P111</t>
        </is>
      </c>
      <c r="D172" s="10" t="inlineStr">
        <is>
          <t>Desk Organizer Tray</t>
        </is>
      </c>
      <c r="E172" s="10" t="inlineStr">
        <is>
          <t>Office Supplies</t>
        </is>
      </c>
      <c r="F172" s="10" t="inlineStr">
        <is>
          <t>West</t>
        </is>
      </c>
      <c r="G172" s="10" t="n">
        <v>2</v>
      </c>
      <c r="H172" s="11" t="n">
        <v>456</v>
      </c>
      <c r="I172" s="11" t="n">
        <v>260</v>
      </c>
      <c r="J172" s="11">
        <f>G172*H172</f>
        <v/>
      </c>
      <c r="K172" s="11">
        <f>G172*I172</f>
        <v/>
      </c>
      <c r="L172" s="11">
        <f>J172-K172</f>
        <v/>
      </c>
      <c r="M172" s="12">
        <f>(L172/J172)</f>
        <v/>
      </c>
    </row>
    <row r="173">
      <c r="A173" s="10" t="inlineStr">
        <is>
          <t>ORD-2024038</t>
        </is>
      </c>
      <c r="B173" s="10" t="inlineStr">
        <is>
          <t>2024-08-12</t>
        </is>
      </c>
      <c r="C173" s="10" t="inlineStr">
        <is>
          <t>P109</t>
        </is>
      </c>
      <c r="D173" s="10" t="inlineStr">
        <is>
          <t>Gel Pen Pack (10x)</t>
        </is>
      </c>
      <c r="E173" s="10" t="inlineStr">
        <is>
          <t>Office Supplies</t>
        </is>
      </c>
      <c r="F173" s="10" t="inlineStr">
        <is>
          <t>South</t>
        </is>
      </c>
      <c r="G173" s="10" t="n">
        <v>4</v>
      </c>
      <c r="H173" s="11" t="n">
        <v>240</v>
      </c>
      <c r="I173" s="11" t="n">
        <v>110</v>
      </c>
      <c r="J173" s="11">
        <f>G173*H173</f>
        <v/>
      </c>
      <c r="K173" s="11">
        <f>G173*I173</f>
        <v/>
      </c>
      <c r="L173" s="11">
        <f>J173-K173</f>
        <v/>
      </c>
      <c r="M173" s="12">
        <f>(L173/J173)</f>
        <v/>
      </c>
    </row>
    <row r="174">
      <c r="A174" s="10" t="inlineStr">
        <is>
          <t>ORD-2024197</t>
        </is>
      </c>
      <c r="B174" s="10" t="inlineStr">
        <is>
          <t>2024-08-12</t>
        </is>
      </c>
      <c r="C174" s="10" t="inlineStr">
        <is>
          <t>P112</t>
        </is>
      </c>
      <c r="D174" s="10" t="inlineStr">
        <is>
          <t>USB-C Multiport Hub</t>
        </is>
      </c>
      <c r="E174" s="10" t="inlineStr">
        <is>
          <t>Accessories</t>
        </is>
      </c>
      <c r="F174" s="10" t="inlineStr">
        <is>
          <t>South</t>
        </is>
      </c>
      <c r="G174" s="10" t="n">
        <v>1</v>
      </c>
      <c r="H174" s="11" t="n">
        <v>1959.02</v>
      </c>
      <c r="I174" s="11" t="n">
        <v>1150</v>
      </c>
      <c r="J174" s="11">
        <f>G174*H174</f>
        <v/>
      </c>
      <c r="K174" s="11">
        <f>G174*I174</f>
        <v/>
      </c>
      <c r="L174" s="11">
        <f>J174-K174</f>
        <v/>
      </c>
      <c r="M174" s="12">
        <f>(L174/J174)</f>
        <v/>
      </c>
    </row>
    <row r="175">
      <c r="A175" s="10" t="inlineStr">
        <is>
          <t>ORD-2024213</t>
        </is>
      </c>
      <c r="B175" s="10" t="inlineStr">
        <is>
          <t>2024-08-13</t>
        </is>
      </c>
      <c r="C175" s="10" t="inlineStr">
        <is>
          <t>P102</t>
        </is>
      </c>
      <c r="D175" s="10" t="inlineStr">
        <is>
          <t>Wireless Mouse</t>
        </is>
      </c>
      <c r="E175" s="10" t="inlineStr">
        <is>
          <t>Electronics</t>
        </is>
      </c>
      <c r="F175" s="10" t="inlineStr">
        <is>
          <t>East</t>
        </is>
      </c>
      <c r="G175" s="10" t="n">
        <v>8</v>
      </c>
      <c r="H175" s="11" t="n">
        <v>750</v>
      </c>
      <c r="I175" s="11" t="n">
        <v>420</v>
      </c>
      <c r="J175" s="11">
        <f>G175*H175</f>
        <v/>
      </c>
      <c r="K175" s="11">
        <f>G175*I175</f>
        <v/>
      </c>
      <c r="L175" s="11">
        <f>J175-K175</f>
        <v/>
      </c>
      <c r="M175" s="12">
        <f>(L175/J175)</f>
        <v/>
      </c>
    </row>
    <row r="176">
      <c r="A176" s="10" t="inlineStr">
        <is>
          <t>ORD-2024103</t>
        </is>
      </c>
      <c r="B176" s="10" t="inlineStr">
        <is>
          <t>2024-08-14</t>
        </is>
      </c>
      <c r="C176" s="10" t="inlineStr">
        <is>
          <t>P108</t>
        </is>
      </c>
      <c r="D176" s="10" t="inlineStr">
        <is>
          <t>Executive Desk Lamp</t>
        </is>
      </c>
      <c r="E176" s="10" t="inlineStr">
        <is>
          <t>Furniture</t>
        </is>
      </c>
      <c r="F176" s="10" t="inlineStr">
        <is>
          <t>East</t>
        </is>
      </c>
      <c r="G176" s="10" t="n">
        <v>8</v>
      </c>
      <c r="H176" s="11" t="n">
        <v>1499</v>
      </c>
      <c r="I176" s="11" t="n">
        <v>850</v>
      </c>
      <c r="J176" s="11">
        <f>G176*H176</f>
        <v/>
      </c>
      <c r="K176" s="11">
        <f>G176*I176</f>
        <v/>
      </c>
      <c r="L176" s="11">
        <f>J176-K176</f>
        <v/>
      </c>
      <c r="M176" s="12">
        <f>(L176/J176)</f>
        <v/>
      </c>
    </row>
    <row r="177">
      <c r="A177" s="10" t="inlineStr">
        <is>
          <t>ORD-2024076</t>
        </is>
      </c>
      <c r="B177" s="10" t="inlineStr">
        <is>
          <t>2024-08-14</t>
        </is>
      </c>
      <c r="C177" s="10" t="inlineStr">
        <is>
          <t>P109</t>
        </is>
      </c>
      <c r="D177" s="10" t="inlineStr">
        <is>
          <t>Gel Pen Pack (10x)</t>
        </is>
      </c>
      <c r="E177" s="10" t="inlineStr">
        <is>
          <t>Office Supplies</t>
        </is>
      </c>
      <c r="F177" s="10" t="inlineStr">
        <is>
          <t>West</t>
        </is>
      </c>
      <c r="G177" s="10" t="n">
        <v>9</v>
      </c>
      <c r="H177" s="11" t="n">
        <v>240</v>
      </c>
      <c r="I177" s="11" t="n">
        <v>110</v>
      </c>
      <c r="J177" s="11">
        <f>G177*H177</f>
        <v/>
      </c>
      <c r="K177" s="11">
        <f>G177*I177</f>
        <v/>
      </c>
      <c r="L177" s="11">
        <f>J177-K177</f>
        <v/>
      </c>
      <c r="M177" s="12">
        <f>(L177/J177)</f>
        <v/>
      </c>
    </row>
    <row r="178">
      <c r="A178" s="10" t="inlineStr">
        <is>
          <t>ORD-2024254</t>
        </is>
      </c>
      <c r="B178" s="10" t="inlineStr">
        <is>
          <t>2024-08-15</t>
        </is>
      </c>
      <c r="C178" s="10" t="inlineStr">
        <is>
          <t>P108</t>
        </is>
      </c>
      <c r="D178" s="10" t="inlineStr">
        <is>
          <t>Executive Desk Lamp</t>
        </is>
      </c>
      <c r="E178" s="10" t="inlineStr">
        <is>
          <t>Furniture</t>
        </is>
      </c>
      <c r="F178" s="10" t="inlineStr">
        <is>
          <t>Central</t>
        </is>
      </c>
      <c r="G178" s="10" t="n">
        <v>6</v>
      </c>
      <c r="H178" s="11" t="n">
        <v>1499</v>
      </c>
      <c r="I178" s="11" t="n">
        <v>850</v>
      </c>
      <c r="J178" s="11">
        <f>G178*H178</f>
        <v/>
      </c>
      <c r="K178" s="11">
        <f>G178*I178</f>
        <v/>
      </c>
      <c r="L178" s="11">
        <f>J178-K178</f>
        <v/>
      </c>
      <c r="M178" s="12">
        <f>(L178/J178)</f>
        <v/>
      </c>
    </row>
    <row r="179">
      <c r="A179" s="10" t="inlineStr">
        <is>
          <t>ORD-2024220</t>
        </is>
      </c>
      <c r="B179" s="10" t="inlineStr">
        <is>
          <t>2024-08-15</t>
        </is>
      </c>
      <c r="C179" s="10" t="inlineStr">
        <is>
          <t>P103</t>
        </is>
      </c>
      <c r="D179" s="10" t="inlineStr">
        <is>
          <t>Mechanical Keyboard</t>
        </is>
      </c>
      <c r="E179" s="10" t="inlineStr">
        <is>
          <t>Electronics</t>
        </is>
      </c>
      <c r="F179" s="10" t="inlineStr">
        <is>
          <t>East</t>
        </is>
      </c>
      <c r="G179" s="10" t="n">
        <v>1</v>
      </c>
      <c r="H179" s="11" t="n">
        <v>2800</v>
      </c>
      <c r="I179" s="11" t="n">
        <v>1850</v>
      </c>
      <c r="J179" s="11">
        <f>G179*H179</f>
        <v/>
      </c>
      <c r="K179" s="11">
        <f>G179*I179</f>
        <v/>
      </c>
      <c r="L179" s="11">
        <f>J179-K179</f>
        <v/>
      </c>
      <c r="M179" s="12">
        <f>(L179/J179)</f>
        <v/>
      </c>
    </row>
    <row r="180">
      <c r="A180" s="10" t="inlineStr">
        <is>
          <t>ORD-2024207</t>
        </is>
      </c>
      <c r="B180" s="10" t="inlineStr">
        <is>
          <t>2024-08-16</t>
        </is>
      </c>
      <c r="C180" s="10" t="inlineStr">
        <is>
          <t>P109</t>
        </is>
      </c>
      <c r="D180" s="10" t="inlineStr">
        <is>
          <t>Gel Pen Pack (10x)</t>
        </is>
      </c>
      <c r="E180" s="10" t="inlineStr">
        <is>
          <t>Office Supplies</t>
        </is>
      </c>
      <c r="F180" s="10" t="inlineStr">
        <is>
          <t>South</t>
        </is>
      </c>
      <c r="G180" s="10" t="n">
        <v>6</v>
      </c>
      <c r="H180" s="11" t="n">
        <v>235.2</v>
      </c>
      <c r="I180" s="11" t="n">
        <v>110</v>
      </c>
      <c r="J180" s="11">
        <f>G180*H180</f>
        <v/>
      </c>
      <c r="K180" s="11">
        <f>G180*I180</f>
        <v/>
      </c>
      <c r="L180" s="11">
        <f>J180-K180</f>
        <v/>
      </c>
      <c r="M180" s="12">
        <f>(L180/J180)</f>
        <v/>
      </c>
    </row>
    <row r="181">
      <c r="A181" s="10" t="inlineStr">
        <is>
          <t>ORD-2024154</t>
        </is>
      </c>
      <c r="B181" s="10" t="inlineStr">
        <is>
          <t>2024-08-17</t>
        </is>
      </c>
      <c r="C181" s="10" t="inlineStr">
        <is>
          <t>P113</t>
        </is>
      </c>
      <c r="D181" s="10" t="inlineStr">
        <is>
          <t>Laptop Backpack</t>
        </is>
      </c>
      <c r="E181" s="10" t="inlineStr">
        <is>
          <t>Accessories</t>
        </is>
      </c>
      <c r="F181" s="10" t="inlineStr">
        <is>
          <t>North</t>
        </is>
      </c>
      <c r="G181" s="10" t="n">
        <v>5</v>
      </c>
      <c r="H181" s="11" t="n">
        <v>1599</v>
      </c>
      <c r="I181" s="11" t="n">
        <v>820</v>
      </c>
      <c r="J181" s="11">
        <f>G181*H181</f>
        <v/>
      </c>
      <c r="K181" s="11">
        <f>G181*I181</f>
        <v/>
      </c>
      <c r="L181" s="11">
        <f>J181-K181</f>
        <v/>
      </c>
      <c r="M181" s="12">
        <f>(L181/J181)</f>
        <v/>
      </c>
    </row>
    <row r="182">
      <c r="A182" s="10" t="inlineStr">
        <is>
          <t>ORD-2024266</t>
        </is>
      </c>
      <c r="B182" s="10" t="inlineStr">
        <is>
          <t>2024-08-17</t>
        </is>
      </c>
      <c r="C182" s="10" t="inlineStr">
        <is>
          <t>P113</t>
        </is>
      </c>
      <c r="D182" s="10" t="inlineStr">
        <is>
          <t>Laptop Backpack</t>
        </is>
      </c>
      <c r="E182" s="10" t="inlineStr">
        <is>
          <t>Accessories</t>
        </is>
      </c>
      <c r="F182" s="10" t="inlineStr">
        <is>
          <t>South</t>
        </is>
      </c>
      <c r="G182" s="10" t="n">
        <v>10</v>
      </c>
      <c r="H182" s="11" t="n">
        <v>1599</v>
      </c>
      <c r="I182" s="11" t="n">
        <v>820</v>
      </c>
      <c r="J182" s="11">
        <f>G182*H182</f>
        <v/>
      </c>
      <c r="K182" s="11">
        <f>G182*I182</f>
        <v/>
      </c>
      <c r="L182" s="11">
        <f>J182-K182</f>
        <v/>
      </c>
      <c r="M182" s="12">
        <f>(L182/J182)</f>
        <v/>
      </c>
    </row>
    <row r="183">
      <c r="A183" s="10" t="inlineStr">
        <is>
          <t>ORD-2024148</t>
        </is>
      </c>
      <c r="B183" s="10" t="inlineStr">
        <is>
          <t>2024-08-18</t>
        </is>
      </c>
      <c r="C183" s="10" t="inlineStr">
        <is>
          <t>P104</t>
        </is>
      </c>
      <c r="D183" s="10" t="inlineStr">
        <is>
          <t>Noise-Cancelling Headphones</t>
        </is>
      </c>
      <c r="E183" s="10" t="inlineStr">
        <is>
          <t>Electronics</t>
        </is>
      </c>
      <c r="F183" s="10" t="inlineStr">
        <is>
          <t>West</t>
        </is>
      </c>
      <c r="G183" s="10" t="n">
        <v>4</v>
      </c>
      <c r="H183" s="11" t="n">
        <v>5999</v>
      </c>
      <c r="I183" s="11" t="n">
        <v>3600</v>
      </c>
      <c r="J183" s="11">
        <f>G183*H183</f>
        <v/>
      </c>
      <c r="K183" s="11">
        <f>G183*I183</f>
        <v/>
      </c>
      <c r="L183" s="11">
        <f>J183-K183</f>
        <v/>
      </c>
      <c r="M183" s="12">
        <f>(L183/J183)</f>
        <v/>
      </c>
    </row>
    <row r="184">
      <c r="A184" s="10" t="inlineStr">
        <is>
          <t>ORD-2024267</t>
        </is>
      </c>
      <c r="B184" s="10" t="inlineStr">
        <is>
          <t>2024-08-19</t>
        </is>
      </c>
      <c r="C184" s="10" t="inlineStr">
        <is>
          <t>P109</t>
        </is>
      </c>
      <c r="D184" s="10" t="inlineStr">
        <is>
          <t>Gel Pen Pack (10x)</t>
        </is>
      </c>
      <c r="E184" s="10" t="inlineStr">
        <is>
          <t>Office Supplies</t>
        </is>
      </c>
      <c r="F184" s="10" t="inlineStr">
        <is>
          <t>North</t>
        </is>
      </c>
      <c r="G184" s="10" t="n">
        <v>10</v>
      </c>
      <c r="H184" s="11" t="n">
        <v>240</v>
      </c>
      <c r="I184" s="11" t="n">
        <v>110</v>
      </c>
      <c r="J184" s="11">
        <f>G184*H184</f>
        <v/>
      </c>
      <c r="K184" s="11">
        <f>G184*I184</f>
        <v/>
      </c>
      <c r="L184" s="11">
        <f>J184-K184</f>
        <v/>
      </c>
      <c r="M184" s="12">
        <f>(L184/J184)</f>
        <v/>
      </c>
    </row>
    <row r="185">
      <c r="A185" s="10" t="inlineStr">
        <is>
          <t>ORD-2024251</t>
        </is>
      </c>
      <c r="B185" s="10" t="inlineStr">
        <is>
          <t>2024-08-20</t>
        </is>
      </c>
      <c r="C185" s="10" t="inlineStr">
        <is>
          <t>P106</t>
        </is>
      </c>
      <c r="D185" s="10" t="inlineStr">
        <is>
          <t>Standing Desk</t>
        </is>
      </c>
      <c r="E185" s="10" t="inlineStr">
        <is>
          <t>Furniture</t>
        </is>
      </c>
      <c r="F185" s="10" t="inlineStr">
        <is>
          <t>East</t>
        </is>
      </c>
      <c r="G185" s="10" t="n">
        <v>4</v>
      </c>
      <c r="H185" s="11" t="n">
        <v>18130</v>
      </c>
      <c r="I185" s="11" t="n">
        <v>12500</v>
      </c>
      <c r="J185" s="11">
        <f>G185*H185</f>
        <v/>
      </c>
      <c r="K185" s="11">
        <f>G185*I185</f>
        <v/>
      </c>
      <c r="L185" s="11">
        <f>J185-K185</f>
        <v/>
      </c>
      <c r="M185" s="12">
        <f>(L185/J185)</f>
        <v/>
      </c>
    </row>
    <row r="186">
      <c r="A186" s="10" t="inlineStr">
        <is>
          <t>ORD-2024229</t>
        </is>
      </c>
      <c r="B186" s="10" t="inlineStr">
        <is>
          <t>2024-08-21</t>
        </is>
      </c>
      <c r="C186" s="10" t="inlineStr">
        <is>
          <t>P114</t>
        </is>
      </c>
      <c r="D186" s="10" t="inlineStr">
        <is>
          <t>Webcam 1080p HD</t>
        </is>
      </c>
      <c r="E186" s="10" t="inlineStr">
        <is>
          <t>Accessories</t>
        </is>
      </c>
      <c r="F186" s="10" t="inlineStr">
        <is>
          <t>South</t>
        </is>
      </c>
      <c r="G186" s="10" t="n">
        <v>7</v>
      </c>
      <c r="H186" s="11" t="n">
        <v>2327.5</v>
      </c>
      <c r="I186" s="11" t="n">
        <v>1450</v>
      </c>
      <c r="J186" s="11">
        <f>G186*H186</f>
        <v/>
      </c>
      <c r="K186" s="11">
        <f>G186*I186</f>
        <v/>
      </c>
      <c r="L186" s="11">
        <f>J186-K186</f>
        <v/>
      </c>
      <c r="M186" s="12">
        <f>(L186/J186)</f>
        <v/>
      </c>
    </row>
    <row r="187">
      <c r="A187" s="10" t="inlineStr">
        <is>
          <t>ORD-2024226</t>
        </is>
      </c>
      <c r="B187" s="10" t="inlineStr">
        <is>
          <t>2024-08-23</t>
        </is>
      </c>
      <c r="C187" s="10" t="inlineStr">
        <is>
          <t>P105</t>
        </is>
      </c>
      <c r="D187" s="10" t="inlineStr">
        <is>
          <t>Ergonomic Office Chair</t>
        </is>
      </c>
      <c r="E187" s="10" t="inlineStr">
        <is>
          <t>Furniture</t>
        </is>
      </c>
      <c r="F187" s="10" t="inlineStr">
        <is>
          <t>East</t>
        </is>
      </c>
      <c r="G187" s="10" t="n">
        <v>4</v>
      </c>
      <c r="H187" s="11" t="n">
        <v>9999</v>
      </c>
      <c r="I187" s="11" t="n">
        <v>6800</v>
      </c>
      <c r="J187" s="11">
        <f>G187*H187</f>
        <v/>
      </c>
      <c r="K187" s="11">
        <f>G187*I187</f>
        <v/>
      </c>
      <c r="L187" s="11">
        <f>J187-K187</f>
        <v/>
      </c>
      <c r="M187" s="12">
        <f>(L187/J187)</f>
        <v/>
      </c>
    </row>
    <row r="188">
      <c r="A188" s="10" t="inlineStr">
        <is>
          <t>ORD-2024009</t>
        </is>
      </c>
      <c r="B188" s="10" t="inlineStr">
        <is>
          <t>2024-08-23</t>
        </is>
      </c>
      <c r="C188" s="10" t="inlineStr">
        <is>
          <t>P109</t>
        </is>
      </c>
      <c r="D188" s="10" t="inlineStr">
        <is>
          <t>Gel Pen Pack (10x)</t>
        </is>
      </c>
      <c r="E188" s="10" t="inlineStr">
        <is>
          <t>Office Supplies</t>
        </is>
      </c>
      <c r="F188" s="10" t="inlineStr">
        <is>
          <t>North</t>
        </is>
      </c>
      <c r="G188" s="10" t="n">
        <v>15</v>
      </c>
      <c r="H188" s="11" t="n">
        <v>228</v>
      </c>
      <c r="I188" s="11" t="n">
        <v>110</v>
      </c>
      <c r="J188" s="11">
        <f>G188*H188</f>
        <v/>
      </c>
      <c r="K188" s="11">
        <f>G188*I188</f>
        <v/>
      </c>
      <c r="L188" s="11">
        <f>J188-K188</f>
        <v/>
      </c>
      <c r="M188" s="12">
        <f>(L188/J188)</f>
        <v/>
      </c>
    </row>
    <row r="189">
      <c r="A189" s="10" t="inlineStr">
        <is>
          <t>ORD-2024242</t>
        </is>
      </c>
      <c r="B189" s="10" t="inlineStr">
        <is>
          <t>2024-08-27</t>
        </is>
      </c>
      <c r="C189" s="10" t="inlineStr">
        <is>
          <t>P102</t>
        </is>
      </c>
      <c r="D189" s="10" t="inlineStr">
        <is>
          <t>Wireless Mouse</t>
        </is>
      </c>
      <c r="E189" s="10" t="inlineStr">
        <is>
          <t>Electronics</t>
        </is>
      </c>
      <c r="F189" s="10" t="inlineStr">
        <is>
          <t>North</t>
        </is>
      </c>
      <c r="G189" s="10" t="n">
        <v>4</v>
      </c>
      <c r="H189" s="11" t="n">
        <v>712.5</v>
      </c>
      <c r="I189" s="11" t="n">
        <v>420</v>
      </c>
      <c r="J189" s="11">
        <f>G189*H189</f>
        <v/>
      </c>
      <c r="K189" s="11">
        <f>G189*I189</f>
        <v/>
      </c>
      <c r="L189" s="11">
        <f>J189-K189</f>
        <v/>
      </c>
      <c r="M189" s="12">
        <f>(L189/J189)</f>
        <v/>
      </c>
    </row>
    <row r="190">
      <c r="A190" s="10" t="inlineStr">
        <is>
          <t>ORD-2024126</t>
        </is>
      </c>
      <c r="B190" s="10" t="inlineStr">
        <is>
          <t>2024-08-27</t>
        </is>
      </c>
      <c r="C190" s="10" t="inlineStr">
        <is>
          <t>P103</t>
        </is>
      </c>
      <c r="D190" s="10" t="inlineStr">
        <is>
          <t>Mechanical Keyboard</t>
        </is>
      </c>
      <c r="E190" s="10" t="inlineStr">
        <is>
          <t>Electronics</t>
        </is>
      </c>
      <c r="F190" s="10" t="inlineStr">
        <is>
          <t>Central</t>
        </is>
      </c>
      <c r="G190" s="10" t="n">
        <v>1</v>
      </c>
      <c r="H190" s="11" t="n">
        <v>2660</v>
      </c>
      <c r="I190" s="11" t="n">
        <v>1850</v>
      </c>
      <c r="J190" s="11">
        <f>G190*H190</f>
        <v/>
      </c>
      <c r="K190" s="11">
        <f>G190*I190</f>
        <v/>
      </c>
      <c r="L190" s="11">
        <f>J190-K190</f>
        <v/>
      </c>
      <c r="M190" s="12">
        <f>(L190/J190)</f>
        <v/>
      </c>
    </row>
    <row r="191">
      <c r="A191" s="10" t="inlineStr">
        <is>
          <t>ORD-2024215</t>
        </is>
      </c>
      <c r="B191" s="10" t="inlineStr">
        <is>
          <t>2024-08-28</t>
        </is>
      </c>
      <c r="C191" s="10" t="inlineStr">
        <is>
          <t>P113</t>
        </is>
      </c>
      <c r="D191" s="10" t="inlineStr">
        <is>
          <t>Laptop Backpack</t>
        </is>
      </c>
      <c r="E191" s="10" t="inlineStr">
        <is>
          <t>Accessories</t>
        </is>
      </c>
      <c r="F191" s="10" t="inlineStr">
        <is>
          <t>Central</t>
        </is>
      </c>
      <c r="G191" s="10" t="n">
        <v>6</v>
      </c>
      <c r="H191" s="11" t="n">
        <v>1567.02</v>
      </c>
      <c r="I191" s="11" t="n">
        <v>820</v>
      </c>
      <c r="J191" s="11">
        <f>G191*H191</f>
        <v/>
      </c>
      <c r="K191" s="11">
        <f>G191*I191</f>
        <v/>
      </c>
      <c r="L191" s="11">
        <f>J191-K191</f>
        <v/>
      </c>
      <c r="M191" s="12">
        <f>(L191/J191)</f>
        <v/>
      </c>
    </row>
    <row r="192">
      <c r="A192" s="10" t="inlineStr">
        <is>
          <t>ORD-2024086</t>
        </is>
      </c>
      <c r="B192" s="10" t="inlineStr">
        <is>
          <t>2024-08-28</t>
        </is>
      </c>
      <c r="C192" s="10" t="inlineStr">
        <is>
          <t>P104</t>
        </is>
      </c>
      <c r="D192" s="10" t="inlineStr">
        <is>
          <t>Noise-Cancelling Headphones</t>
        </is>
      </c>
      <c r="E192" s="10" t="inlineStr">
        <is>
          <t>Electronics</t>
        </is>
      </c>
      <c r="F192" s="10" t="inlineStr">
        <is>
          <t>North</t>
        </is>
      </c>
      <c r="G192" s="10" t="n">
        <v>4</v>
      </c>
      <c r="H192" s="11" t="n">
        <v>5999</v>
      </c>
      <c r="I192" s="11" t="n">
        <v>3600</v>
      </c>
      <c r="J192" s="11">
        <f>G192*H192</f>
        <v/>
      </c>
      <c r="K192" s="11">
        <f>G192*I192</f>
        <v/>
      </c>
      <c r="L192" s="11">
        <f>J192-K192</f>
        <v/>
      </c>
      <c r="M192" s="12">
        <f>(L192/J192)</f>
        <v/>
      </c>
    </row>
    <row r="193">
      <c r="A193" s="10" t="inlineStr">
        <is>
          <t>ORD-2024177</t>
        </is>
      </c>
      <c r="B193" s="10" t="inlineStr">
        <is>
          <t>2024-08-28</t>
        </is>
      </c>
      <c r="C193" s="10" t="inlineStr">
        <is>
          <t>P105</t>
        </is>
      </c>
      <c r="D193" s="10" t="inlineStr">
        <is>
          <t>Ergonomic Office Chair</t>
        </is>
      </c>
      <c r="E193" s="10" t="inlineStr">
        <is>
          <t>Furniture</t>
        </is>
      </c>
      <c r="F193" s="10" t="inlineStr">
        <is>
          <t>North</t>
        </is>
      </c>
      <c r="G193" s="10" t="n">
        <v>3</v>
      </c>
      <c r="H193" s="11" t="n">
        <v>9999</v>
      </c>
      <c r="I193" s="11" t="n">
        <v>6800</v>
      </c>
      <c r="J193" s="11">
        <f>G193*H193</f>
        <v/>
      </c>
      <c r="K193" s="11">
        <f>G193*I193</f>
        <v/>
      </c>
      <c r="L193" s="11">
        <f>J193-K193</f>
        <v/>
      </c>
      <c r="M193" s="12">
        <f>(L193/J193)</f>
        <v/>
      </c>
    </row>
    <row r="194">
      <c r="A194" s="10" t="inlineStr">
        <is>
          <t>ORD-2024202</t>
        </is>
      </c>
      <c r="B194" s="10" t="inlineStr">
        <is>
          <t>2024-08-29</t>
        </is>
      </c>
      <c r="C194" s="10" t="inlineStr">
        <is>
          <t>P104</t>
        </is>
      </c>
      <c r="D194" s="10" t="inlineStr">
        <is>
          <t>Noise-Cancelling Headphones</t>
        </is>
      </c>
      <c r="E194" s="10" t="inlineStr">
        <is>
          <t>Electronics</t>
        </is>
      </c>
      <c r="F194" s="10" t="inlineStr">
        <is>
          <t>South</t>
        </is>
      </c>
      <c r="G194" s="10" t="n">
        <v>2</v>
      </c>
      <c r="H194" s="11" t="n">
        <v>5699.05</v>
      </c>
      <c r="I194" s="11" t="n">
        <v>3600</v>
      </c>
      <c r="J194" s="11">
        <f>G194*H194</f>
        <v/>
      </c>
      <c r="K194" s="11">
        <f>G194*I194</f>
        <v/>
      </c>
      <c r="L194" s="11">
        <f>J194-K194</f>
        <v/>
      </c>
      <c r="M194" s="12">
        <f>(L194/J194)</f>
        <v/>
      </c>
    </row>
    <row r="195">
      <c r="A195" s="10" t="inlineStr">
        <is>
          <t>ORD-2024044</t>
        </is>
      </c>
      <c r="B195" s="10" t="inlineStr">
        <is>
          <t>2024-08-30</t>
        </is>
      </c>
      <c r="C195" s="10" t="inlineStr">
        <is>
          <t>P104</t>
        </is>
      </c>
      <c r="D195" s="10" t="inlineStr">
        <is>
          <t>Noise-Cancelling Headphones</t>
        </is>
      </c>
      <c r="E195" s="10" t="inlineStr">
        <is>
          <t>Electronics</t>
        </is>
      </c>
      <c r="F195" s="10" t="inlineStr">
        <is>
          <t>West</t>
        </is>
      </c>
      <c r="G195" s="10" t="n">
        <v>4</v>
      </c>
      <c r="H195" s="11" t="n">
        <v>5999</v>
      </c>
      <c r="I195" s="11" t="n">
        <v>3600</v>
      </c>
      <c r="J195" s="11">
        <f>G195*H195</f>
        <v/>
      </c>
      <c r="K195" s="11">
        <f>G195*I195</f>
        <v/>
      </c>
      <c r="L195" s="11">
        <f>J195-K195</f>
        <v/>
      </c>
      <c r="M195" s="12">
        <f>(L195/J195)</f>
        <v/>
      </c>
    </row>
    <row r="196">
      <c r="A196" s="10" t="inlineStr">
        <is>
          <t>ORD-2024114</t>
        </is>
      </c>
      <c r="B196" s="10" t="inlineStr">
        <is>
          <t>2024-08-31</t>
        </is>
      </c>
      <c r="C196" s="10" t="inlineStr">
        <is>
          <t>P108</t>
        </is>
      </c>
      <c r="D196" s="10" t="inlineStr">
        <is>
          <t>Executive Desk Lamp</t>
        </is>
      </c>
      <c r="E196" s="10" t="inlineStr">
        <is>
          <t>Furniture</t>
        </is>
      </c>
      <c r="F196" s="10" t="inlineStr">
        <is>
          <t>North</t>
        </is>
      </c>
      <c r="G196" s="10" t="n">
        <v>4</v>
      </c>
      <c r="H196" s="11" t="n">
        <v>1499</v>
      </c>
      <c r="I196" s="11" t="n">
        <v>850</v>
      </c>
      <c r="J196" s="11">
        <f>G196*H196</f>
        <v/>
      </c>
      <c r="K196" s="11">
        <f>G196*I196</f>
        <v/>
      </c>
      <c r="L196" s="11">
        <f>J196-K196</f>
        <v/>
      </c>
      <c r="M196" s="12">
        <f>(L196/J196)</f>
        <v/>
      </c>
    </row>
    <row r="197">
      <c r="A197" s="10" t="inlineStr">
        <is>
          <t>ORD-2024167</t>
        </is>
      </c>
      <c r="B197" s="10" t="inlineStr">
        <is>
          <t>2024-09-01</t>
        </is>
      </c>
      <c r="C197" s="10" t="inlineStr">
        <is>
          <t>P102</t>
        </is>
      </c>
      <c r="D197" s="10" t="inlineStr">
        <is>
          <t>Wireless Mouse</t>
        </is>
      </c>
      <c r="E197" s="10" t="inlineStr">
        <is>
          <t>Electronics</t>
        </is>
      </c>
      <c r="F197" s="10" t="inlineStr">
        <is>
          <t>West</t>
        </is>
      </c>
      <c r="G197" s="10" t="n">
        <v>7</v>
      </c>
      <c r="H197" s="11" t="n">
        <v>712.5</v>
      </c>
      <c r="I197" s="11" t="n">
        <v>420</v>
      </c>
      <c r="J197" s="11">
        <f>G197*H197</f>
        <v/>
      </c>
      <c r="K197" s="11">
        <f>G197*I197</f>
        <v/>
      </c>
      <c r="L197" s="11">
        <f>J197-K197</f>
        <v/>
      </c>
      <c r="M197" s="12">
        <f>(L197/J197)</f>
        <v/>
      </c>
    </row>
    <row r="198">
      <c r="A198" s="10" t="inlineStr">
        <is>
          <t>ORD-2024166</t>
        </is>
      </c>
      <c r="B198" s="10" t="inlineStr">
        <is>
          <t>2024-09-02</t>
        </is>
      </c>
      <c r="C198" s="10" t="inlineStr">
        <is>
          <t>P108</t>
        </is>
      </c>
      <c r="D198" s="10" t="inlineStr">
        <is>
          <t>Executive Desk Lamp</t>
        </is>
      </c>
      <c r="E198" s="10" t="inlineStr">
        <is>
          <t>Furniture</t>
        </is>
      </c>
      <c r="F198" s="10" t="inlineStr">
        <is>
          <t>South</t>
        </is>
      </c>
      <c r="G198" s="10" t="n">
        <v>1</v>
      </c>
      <c r="H198" s="11" t="n">
        <v>1499</v>
      </c>
      <c r="I198" s="11" t="n">
        <v>850</v>
      </c>
      <c r="J198" s="11">
        <f>G198*H198</f>
        <v/>
      </c>
      <c r="K198" s="11">
        <f>G198*I198</f>
        <v/>
      </c>
      <c r="L198" s="11">
        <f>J198-K198</f>
        <v/>
      </c>
      <c r="M198" s="12">
        <f>(L198/J198)</f>
        <v/>
      </c>
    </row>
    <row r="199">
      <c r="A199" s="10" t="inlineStr">
        <is>
          <t>ORD-2024073</t>
        </is>
      </c>
      <c r="B199" s="10" t="inlineStr">
        <is>
          <t>2024-09-07</t>
        </is>
      </c>
      <c r="C199" s="10" t="inlineStr">
        <is>
          <t>P105</t>
        </is>
      </c>
      <c r="D199" s="10" t="inlineStr">
        <is>
          <t>Ergonomic Office Chair</t>
        </is>
      </c>
      <c r="E199" s="10" t="inlineStr">
        <is>
          <t>Furniture</t>
        </is>
      </c>
      <c r="F199" s="10" t="inlineStr">
        <is>
          <t>Central</t>
        </is>
      </c>
      <c r="G199" s="10" t="n">
        <v>1</v>
      </c>
      <c r="H199" s="11" t="n">
        <v>9999</v>
      </c>
      <c r="I199" s="11" t="n">
        <v>6800</v>
      </c>
      <c r="J199" s="11">
        <f>G199*H199</f>
        <v/>
      </c>
      <c r="K199" s="11">
        <f>G199*I199</f>
        <v/>
      </c>
      <c r="L199" s="11">
        <f>J199-K199</f>
        <v/>
      </c>
      <c r="M199" s="12">
        <f>(L199/J199)</f>
        <v/>
      </c>
    </row>
    <row r="200">
      <c r="A200" s="10" t="inlineStr">
        <is>
          <t>ORD-2024144</t>
        </is>
      </c>
      <c r="B200" s="10" t="inlineStr">
        <is>
          <t>2024-09-07</t>
        </is>
      </c>
      <c r="C200" s="10" t="inlineStr">
        <is>
          <t>P102</t>
        </is>
      </c>
      <c r="D200" s="10" t="inlineStr">
        <is>
          <t>Wireless Mouse</t>
        </is>
      </c>
      <c r="E200" s="10" t="inlineStr">
        <is>
          <t>Electronics</t>
        </is>
      </c>
      <c r="F200" s="10" t="inlineStr">
        <is>
          <t>South</t>
        </is>
      </c>
      <c r="G200" s="10" t="n">
        <v>6</v>
      </c>
      <c r="H200" s="11" t="n">
        <v>712.5</v>
      </c>
      <c r="I200" s="11" t="n">
        <v>420</v>
      </c>
      <c r="J200" s="11">
        <f>G200*H200</f>
        <v/>
      </c>
      <c r="K200" s="11">
        <f>G200*I200</f>
        <v/>
      </c>
      <c r="L200" s="11">
        <f>J200-K200</f>
        <v/>
      </c>
      <c r="M200" s="12">
        <f>(L200/J200)</f>
        <v/>
      </c>
    </row>
    <row r="201">
      <c r="A201" s="10" t="inlineStr">
        <is>
          <t>ORD-2024270</t>
        </is>
      </c>
      <c r="B201" s="10" t="inlineStr">
        <is>
          <t>2024-09-08</t>
        </is>
      </c>
      <c r="C201" s="10" t="inlineStr">
        <is>
          <t>P112</t>
        </is>
      </c>
      <c r="D201" s="10" t="inlineStr">
        <is>
          <t>USB-C Multiport Hub</t>
        </is>
      </c>
      <c r="E201" s="10" t="inlineStr">
        <is>
          <t>Accessories</t>
        </is>
      </c>
      <c r="F201" s="10" t="inlineStr">
        <is>
          <t>Central</t>
        </is>
      </c>
      <c r="G201" s="10" t="n">
        <v>2</v>
      </c>
      <c r="H201" s="11" t="n">
        <v>1999</v>
      </c>
      <c r="I201" s="11" t="n">
        <v>1150</v>
      </c>
      <c r="J201" s="11">
        <f>G201*H201</f>
        <v/>
      </c>
      <c r="K201" s="11">
        <f>G201*I201</f>
        <v/>
      </c>
      <c r="L201" s="11">
        <f>J201-K201</f>
        <v/>
      </c>
      <c r="M201" s="12">
        <f>(L201/J201)</f>
        <v/>
      </c>
    </row>
    <row r="202">
      <c r="A202" s="10" t="inlineStr">
        <is>
          <t>ORD-2024108</t>
        </is>
      </c>
      <c r="B202" s="10" t="inlineStr">
        <is>
          <t>2024-09-10</t>
        </is>
      </c>
      <c r="C202" s="10" t="inlineStr">
        <is>
          <t>P107</t>
        </is>
      </c>
      <c r="D202" s="10" t="inlineStr">
        <is>
          <t>Bookshelf Cabinet</t>
        </is>
      </c>
      <c r="E202" s="10" t="inlineStr">
        <is>
          <t>Furniture</t>
        </is>
      </c>
      <c r="F202" s="10" t="inlineStr">
        <is>
          <t>North</t>
        </is>
      </c>
      <c r="G202" s="10" t="n">
        <v>1</v>
      </c>
      <c r="H202" s="11" t="n">
        <v>5950</v>
      </c>
      <c r="I202" s="11" t="n">
        <v>4100</v>
      </c>
      <c r="J202" s="11">
        <f>G202*H202</f>
        <v/>
      </c>
      <c r="K202" s="11">
        <f>G202*I202</f>
        <v/>
      </c>
      <c r="L202" s="11">
        <f>J202-K202</f>
        <v/>
      </c>
      <c r="M202" s="12">
        <f>(L202/J202)</f>
        <v/>
      </c>
    </row>
    <row r="203">
      <c r="A203" s="10" t="inlineStr">
        <is>
          <t>ORD-2024233</t>
        </is>
      </c>
      <c r="B203" s="10" t="inlineStr">
        <is>
          <t>2024-09-11</t>
        </is>
      </c>
      <c r="C203" s="10" t="inlineStr">
        <is>
          <t>P114</t>
        </is>
      </c>
      <c r="D203" s="10" t="inlineStr">
        <is>
          <t>Webcam 1080p HD</t>
        </is>
      </c>
      <c r="E203" s="10" t="inlineStr">
        <is>
          <t>Accessories</t>
        </is>
      </c>
      <c r="F203" s="10" t="inlineStr">
        <is>
          <t>Central</t>
        </is>
      </c>
      <c r="G203" s="10" t="n">
        <v>5</v>
      </c>
      <c r="H203" s="11" t="n">
        <v>2450</v>
      </c>
      <c r="I203" s="11" t="n">
        <v>1450</v>
      </c>
      <c r="J203" s="11">
        <f>G203*H203</f>
        <v/>
      </c>
      <c r="K203" s="11">
        <f>G203*I203</f>
        <v/>
      </c>
      <c r="L203" s="11">
        <f>J203-K203</f>
        <v/>
      </c>
      <c r="M203" s="12">
        <f>(L203/J203)</f>
        <v/>
      </c>
    </row>
    <row r="204">
      <c r="A204" s="10" t="inlineStr">
        <is>
          <t>ORD-2024225</t>
        </is>
      </c>
      <c r="B204" s="10" t="inlineStr">
        <is>
          <t>2024-09-11</t>
        </is>
      </c>
      <c r="C204" s="10" t="inlineStr">
        <is>
          <t>P110</t>
        </is>
      </c>
      <c r="D204" s="10" t="inlineStr">
        <is>
          <t>A4 Copier Paper (500s)</t>
        </is>
      </c>
      <c r="E204" s="10" t="inlineStr">
        <is>
          <t>Office Supplies</t>
        </is>
      </c>
      <c r="F204" s="10" t="inlineStr">
        <is>
          <t>North</t>
        </is>
      </c>
      <c r="G204" s="10" t="n">
        <v>8</v>
      </c>
      <c r="H204" s="11" t="n">
        <v>320</v>
      </c>
      <c r="I204" s="11" t="n">
        <v>190</v>
      </c>
      <c r="J204" s="11">
        <f>G204*H204</f>
        <v/>
      </c>
      <c r="K204" s="11">
        <f>G204*I204</f>
        <v/>
      </c>
      <c r="L204" s="11">
        <f>J204-K204</f>
        <v/>
      </c>
      <c r="M204" s="12">
        <f>(L204/J204)</f>
        <v/>
      </c>
    </row>
    <row r="205">
      <c r="A205" s="10" t="inlineStr">
        <is>
          <t>ORD-2024240</t>
        </is>
      </c>
      <c r="B205" s="10" t="inlineStr">
        <is>
          <t>2024-09-13</t>
        </is>
      </c>
      <c r="C205" s="10" t="inlineStr">
        <is>
          <t>P105</t>
        </is>
      </c>
      <c r="D205" s="10" t="inlineStr">
        <is>
          <t>Ergonomic Office Chair</t>
        </is>
      </c>
      <c r="E205" s="10" t="inlineStr">
        <is>
          <t>Furniture</t>
        </is>
      </c>
      <c r="F205" s="10" t="inlineStr">
        <is>
          <t>West</t>
        </is>
      </c>
      <c r="G205" s="10" t="n">
        <v>3</v>
      </c>
      <c r="H205" s="11" t="n">
        <v>9499.049999999999</v>
      </c>
      <c r="I205" s="11" t="n">
        <v>6800</v>
      </c>
      <c r="J205" s="11">
        <f>G205*H205</f>
        <v/>
      </c>
      <c r="K205" s="11">
        <f>G205*I205</f>
        <v/>
      </c>
      <c r="L205" s="11">
        <f>J205-K205</f>
        <v/>
      </c>
      <c r="M205" s="12">
        <f>(L205/J205)</f>
        <v/>
      </c>
    </row>
    <row r="206">
      <c r="A206" s="10" t="inlineStr">
        <is>
          <t>ORD-2024113</t>
        </is>
      </c>
      <c r="B206" s="10" t="inlineStr">
        <is>
          <t>2024-09-15</t>
        </is>
      </c>
      <c r="C206" s="10" t="inlineStr">
        <is>
          <t>P107</t>
        </is>
      </c>
      <c r="D206" s="10" t="inlineStr">
        <is>
          <t>Bookshelf Cabinet</t>
        </is>
      </c>
      <c r="E206" s="10" t="inlineStr">
        <is>
          <t>Furniture</t>
        </is>
      </c>
      <c r="F206" s="10" t="inlineStr">
        <is>
          <t>West</t>
        </is>
      </c>
      <c r="G206" s="10" t="n">
        <v>4</v>
      </c>
      <c r="H206" s="11" t="n">
        <v>5950</v>
      </c>
      <c r="I206" s="11" t="n">
        <v>4100</v>
      </c>
      <c r="J206" s="11">
        <f>G206*H206</f>
        <v/>
      </c>
      <c r="K206" s="11">
        <f>G206*I206</f>
        <v/>
      </c>
      <c r="L206" s="11">
        <f>J206-K206</f>
        <v/>
      </c>
      <c r="M206" s="12">
        <f>(L206/J206)</f>
        <v/>
      </c>
    </row>
    <row r="207">
      <c r="A207" s="10" t="inlineStr">
        <is>
          <t>ORD-2024004</t>
        </is>
      </c>
      <c r="B207" s="10" t="inlineStr">
        <is>
          <t>2024-09-15</t>
        </is>
      </c>
      <c r="C207" s="10" t="inlineStr">
        <is>
          <t>P110</t>
        </is>
      </c>
      <c r="D207" s="10" t="inlineStr">
        <is>
          <t>A4 Copier Paper (500s)</t>
        </is>
      </c>
      <c r="E207" s="10" t="inlineStr">
        <is>
          <t>Office Supplies</t>
        </is>
      </c>
      <c r="F207" s="10" t="inlineStr">
        <is>
          <t>North</t>
        </is>
      </c>
      <c r="G207" s="10" t="n">
        <v>4</v>
      </c>
      <c r="H207" s="11" t="n">
        <v>313.6</v>
      </c>
      <c r="I207" s="11" t="n">
        <v>190</v>
      </c>
      <c r="J207" s="11">
        <f>G207*H207</f>
        <v/>
      </c>
      <c r="K207" s="11">
        <f>G207*I207</f>
        <v/>
      </c>
      <c r="L207" s="11">
        <f>J207-K207</f>
        <v/>
      </c>
      <c r="M207" s="12">
        <f>(L207/J207)</f>
        <v/>
      </c>
    </row>
    <row r="208">
      <c r="A208" s="10" t="inlineStr">
        <is>
          <t>ORD-2024205</t>
        </is>
      </c>
      <c r="B208" s="10" t="inlineStr">
        <is>
          <t>2024-09-16</t>
        </is>
      </c>
      <c r="C208" s="10" t="inlineStr">
        <is>
          <t>P105</t>
        </is>
      </c>
      <c r="D208" s="10" t="inlineStr">
        <is>
          <t>Ergonomic Office Chair</t>
        </is>
      </c>
      <c r="E208" s="10" t="inlineStr">
        <is>
          <t>Furniture</t>
        </is>
      </c>
      <c r="F208" s="10" t="inlineStr">
        <is>
          <t>West</t>
        </is>
      </c>
      <c r="G208" s="10" t="n">
        <v>3</v>
      </c>
      <c r="H208" s="11" t="n">
        <v>9999</v>
      </c>
      <c r="I208" s="11" t="n">
        <v>6800</v>
      </c>
      <c r="J208" s="11">
        <f>G208*H208</f>
        <v/>
      </c>
      <c r="K208" s="11">
        <f>G208*I208</f>
        <v/>
      </c>
      <c r="L208" s="11">
        <f>J208-K208</f>
        <v/>
      </c>
      <c r="M208" s="12">
        <f>(L208/J208)</f>
        <v/>
      </c>
    </row>
    <row r="209">
      <c r="A209" s="10" t="inlineStr">
        <is>
          <t>ORD-2024283</t>
        </is>
      </c>
      <c r="B209" s="10" t="inlineStr">
        <is>
          <t>2024-09-16</t>
        </is>
      </c>
      <c r="C209" s="10" t="inlineStr">
        <is>
          <t>P104</t>
        </is>
      </c>
      <c r="D209" s="10" t="inlineStr">
        <is>
          <t>Noise-Cancelling Headphones</t>
        </is>
      </c>
      <c r="E209" s="10" t="inlineStr">
        <is>
          <t>Electronics</t>
        </is>
      </c>
      <c r="F209" s="10" t="inlineStr">
        <is>
          <t>North</t>
        </is>
      </c>
      <c r="G209" s="10" t="n">
        <v>4</v>
      </c>
      <c r="H209" s="11" t="n">
        <v>5999</v>
      </c>
      <c r="I209" s="11" t="n">
        <v>3600</v>
      </c>
      <c r="J209" s="11">
        <f>G209*H209</f>
        <v/>
      </c>
      <c r="K209" s="11">
        <f>G209*I209</f>
        <v/>
      </c>
      <c r="L209" s="11">
        <f>J209-K209</f>
        <v/>
      </c>
      <c r="M209" s="12">
        <f>(L209/J209)</f>
        <v/>
      </c>
    </row>
    <row r="210">
      <c r="A210" s="10" t="inlineStr">
        <is>
          <t>ORD-2024143</t>
        </is>
      </c>
      <c r="B210" s="10" t="inlineStr">
        <is>
          <t>2024-09-16</t>
        </is>
      </c>
      <c r="C210" s="10" t="inlineStr">
        <is>
          <t>P111</t>
        </is>
      </c>
      <c r="D210" s="10" t="inlineStr">
        <is>
          <t>Desk Organizer Tray</t>
        </is>
      </c>
      <c r="E210" s="10" t="inlineStr">
        <is>
          <t>Office Supplies</t>
        </is>
      </c>
      <c r="F210" s="10" t="inlineStr">
        <is>
          <t>South</t>
        </is>
      </c>
      <c r="G210" s="10" t="n">
        <v>14</v>
      </c>
      <c r="H210" s="11" t="n">
        <v>456</v>
      </c>
      <c r="I210" s="11" t="n">
        <v>260</v>
      </c>
      <c r="J210" s="11">
        <f>G210*H210</f>
        <v/>
      </c>
      <c r="K210" s="11">
        <f>G210*I210</f>
        <v/>
      </c>
      <c r="L210" s="11">
        <f>J210-K210</f>
        <v/>
      </c>
      <c r="M210" s="12">
        <f>(L210/J210)</f>
        <v/>
      </c>
    </row>
    <row r="211">
      <c r="A211" s="10" t="inlineStr">
        <is>
          <t>ORD-2024098</t>
        </is>
      </c>
      <c r="B211" s="10" t="inlineStr">
        <is>
          <t>2024-09-16</t>
        </is>
      </c>
      <c r="C211" s="10" t="inlineStr">
        <is>
          <t>P105</t>
        </is>
      </c>
      <c r="D211" s="10" t="inlineStr">
        <is>
          <t>Ergonomic Office Chair</t>
        </is>
      </c>
      <c r="E211" s="10" t="inlineStr">
        <is>
          <t>Furniture</t>
        </is>
      </c>
      <c r="F211" s="10" t="inlineStr">
        <is>
          <t>East</t>
        </is>
      </c>
      <c r="G211" s="10" t="n">
        <v>3</v>
      </c>
      <c r="H211" s="11" t="n">
        <v>9499.049999999999</v>
      </c>
      <c r="I211" s="11" t="n">
        <v>6800</v>
      </c>
      <c r="J211" s="11">
        <f>G211*H211</f>
        <v/>
      </c>
      <c r="K211" s="11">
        <f>G211*I211</f>
        <v/>
      </c>
      <c r="L211" s="11">
        <f>J211-K211</f>
        <v/>
      </c>
      <c r="M211" s="12">
        <f>(L211/J211)</f>
        <v/>
      </c>
    </row>
    <row r="212">
      <c r="A212" s="10" t="inlineStr">
        <is>
          <t>ORD-2024058</t>
        </is>
      </c>
      <c r="B212" s="10" t="inlineStr">
        <is>
          <t>2024-09-17</t>
        </is>
      </c>
      <c r="C212" s="10" t="inlineStr">
        <is>
          <t>P102</t>
        </is>
      </c>
      <c r="D212" s="10" t="inlineStr">
        <is>
          <t>Wireless Mouse</t>
        </is>
      </c>
      <c r="E212" s="10" t="inlineStr">
        <is>
          <t>Electronics</t>
        </is>
      </c>
      <c r="F212" s="10" t="inlineStr">
        <is>
          <t>West</t>
        </is>
      </c>
      <c r="G212" s="10" t="n">
        <v>2</v>
      </c>
      <c r="H212" s="11" t="n">
        <v>735</v>
      </c>
      <c r="I212" s="11" t="n">
        <v>420</v>
      </c>
      <c r="J212" s="11">
        <f>G212*H212</f>
        <v/>
      </c>
      <c r="K212" s="11">
        <f>G212*I212</f>
        <v/>
      </c>
      <c r="L212" s="11">
        <f>J212-K212</f>
        <v/>
      </c>
      <c r="M212" s="12">
        <f>(L212/J212)</f>
        <v/>
      </c>
    </row>
    <row r="213">
      <c r="A213" s="10" t="inlineStr">
        <is>
          <t>ORD-2024201</t>
        </is>
      </c>
      <c r="B213" s="10" t="inlineStr">
        <is>
          <t>2024-09-17</t>
        </is>
      </c>
      <c r="C213" s="10" t="inlineStr">
        <is>
          <t>P112</t>
        </is>
      </c>
      <c r="D213" s="10" t="inlineStr">
        <is>
          <t>USB-C Multiport Hub</t>
        </is>
      </c>
      <c r="E213" s="10" t="inlineStr">
        <is>
          <t>Accessories</t>
        </is>
      </c>
      <c r="F213" s="10" t="inlineStr">
        <is>
          <t>North</t>
        </is>
      </c>
      <c r="G213" s="10" t="n">
        <v>14</v>
      </c>
      <c r="H213" s="11" t="n">
        <v>1899.05</v>
      </c>
      <c r="I213" s="11" t="n">
        <v>1150</v>
      </c>
      <c r="J213" s="11">
        <f>G213*H213</f>
        <v/>
      </c>
      <c r="K213" s="11">
        <f>G213*I213</f>
        <v/>
      </c>
      <c r="L213" s="11">
        <f>J213-K213</f>
        <v/>
      </c>
      <c r="M213" s="12">
        <f>(L213/J213)</f>
        <v/>
      </c>
    </row>
    <row r="214">
      <c r="A214" s="10" t="inlineStr">
        <is>
          <t>ORD-2024022</t>
        </is>
      </c>
      <c r="B214" s="10" t="inlineStr">
        <is>
          <t>2024-09-17</t>
        </is>
      </c>
      <c r="C214" s="10" t="inlineStr">
        <is>
          <t>P108</t>
        </is>
      </c>
      <c r="D214" s="10" t="inlineStr">
        <is>
          <t>Executive Desk Lamp</t>
        </is>
      </c>
      <c r="E214" s="10" t="inlineStr">
        <is>
          <t>Furniture</t>
        </is>
      </c>
      <c r="F214" s="10" t="inlineStr">
        <is>
          <t>North</t>
        </is>
      </c>
      <c r="G214" s="10" t="n">
        <v>1</v>
      </c>
      <c r="H214" s="11" t="n">
        <v>1499</v>
      </c>
      <c r="I214" s="11" t="n">
        <v>850</v>
      </c>
      <c r="J214" s="11">
        <f>G214*H214</f>
        <v/>
      </c>
      <c r="K214" s="11">
        <f>G214*I214</f>
        <v/>
      </c>
      <c r="L214" s="11">
        <f>J214-K214</f>
        <v/>
      </c>
      <c r="M214" s="12">
        <f>(L214/J214)</f>
        <v/>
      </c>
    </row>
    <row r="215">
      <c r="A215" s="10" t="inlineStr">
        <is>
          <t>ORD-2024152</t>
        </is>
      </c>
      <c r="B215" s="10" t="inlineStr">
        <is>
          <t>2024-09-21</t>
        </is>
      </c>
      <c r="C215" s="10" t="inlineStr">
        <is>
          <t>P104</t>
        </is>
      </c>
      <c r="D215" s="10" t="inlineStr">
        <is>
          <t>Noise-Cancelling Headphones</t>
        </is>
      </c>
      <c r="E215" s="10" t="inlineStr">
        <is>
          <t>Electronics</t>
        </is>
      </c>
      <c r="F215" s="10" t="inlineStr">
        <is>
          <t>North</t>
        </is>
      </c>
      <c r="G215" s="10" t="n">
        <v>4</v>
      </c>
      <c r="H215" s="11" t="n">
        <v>5699.05</v>
      </c>
      <c r="I215" s="11" t="n">
        <v>3600</v>
      </c>
      <c r="J215" s="11">
        <f>G215*H215</f>
        <v/>
      </c>
      <c r="K215" s="11">
        <f>G215*I215</f>
        <v/>
      </c>
      <c r="L215" s="11">
        <f>J215-K215</f>
        <v/>
      </c>
      <c r="M215" s="12">
        <f>(L215/J215)</f>
        <v/>
      </c>
    </row>
    <row r="216">
      <c r="A216" s="10" t="inlineStr">
        <is>
          <t>ORD-2024095</t>
        </is>
      </c>
      <c r="B216" s="10" t="inlineStr">
        <is>
          <t>2024-09-23</t>
        </is>
      </c>
      <c r="C216" s="10" t="inlineStr">
        <is>
          <t>P113</t>
        </is>
      </c>
      <c r="D216" s="10" t="inlineStr">
        <is>
          <t>Laptop Backpack</t>
        </is>
      </c>
      <c r="E216" s="10" t="inlineStr">
        <is>
          <t>Accessories</t>
        </is>
      </c>
      <c r="F216" s="10" t="inlineStr">
        <is>
          <t>East</t>
        </is>
      </c>
      <c r="G216" s="10" t="n">
        <v>12</v>
      </c>
      <c r="H216" s="11" t="n">
        <v>1599</v>
      </c>
      <c r="I216" s="11" t="n">
        <v>820</v>
      </c>
      <c r="J216" s="11">
        <f>G216*H216</f>
        <v/>
      </c>
      <c r="K216" s="11">
        <f>G216*I216</f>
        <v/>
      </c>
      <c r="L216" s="11">
        <f>J216-K216</f>
        <v/>
      </c>
      <c r="M216" s="12">
        <f>(L216/J216)</f>
        <v/>
      </c>
    </row>
    <row r="217">
      <c r="A217" s="10" t="inlineStr">
        <is>
          <t>ORD-2024115</t>
        </is>
      </c>
      <c r="B217" s="10" t="inlineStr">
        <is>
          <t>2024-09-23</t>
        </is>
      </c>
      <c r="C217" s="10" t="inlineStr">
        <is>
          <t>P108</t>
        </is>
      </c>
      <c r="D217" s="10" t="inlineStr">
        <is>
          <t>Executive Desk Lamp</t>
        </is>
      </c>
      <c r="E217" s="10" t="inlineStr">
        <is>
          <t>Furniture</t>
        </is>
      </c>
      <c r="F217" s="10" t="inlineStr">
        <is>
          <t>East</t>
        </is>
      </c>
      <c r="G217" s="10" t="n">
        <v>5</v>
      </c>
      <c r="H217" s="11" t="n">
        <v>1424.05</v>
      </c>
      <c r="I217" s="11" t="n">
        <v>850</v>
      </c>
      <c r="J217" s="11">
        <f>G217*H217</f>
        <v/>
      </c>
      <c r="K217" s="11">
        <f>G217*I217</f>
        <v/>
      </c>
      <c r="L217" s="11">
        <f>J217-K217</f>
        <v/>
      </c>
      <c r="M217" s="12">
        <f>(L217/J217)</f>
        <v/>
      </c>
    </row>
    <row r="218">
      <c r="A218" s="10" t="inlineStr">
        <is>
          <t>ORD-2024161</t>
        </is>
      </c>
      <c r="B218" s="10" t="inlineStr">
        <is>
          <t>2024-09-25</t>
        </is>
      </c>
      <c r="C218" s="10" t="inlineStr">
        <is>
          <t>P110</t>
        </is>
      </c>
      <c r="D218" s="10" t="inlineStr">
        <is>
          <t>A4 Copier Paper (500s)</t>
        </is>
      </c>
      <c r="E218" s="10" t="inlineStr">
        <is>
          <t>Office Supplies</t>
        </is>
      </c>
      <c r="F218" s="10" t="inlineStr">
        <is>
          <t>South</t>
        </is>
      </c>
      <c r="G218" s="10" t="n">
        <v>2</v>
      </c>
      <c r="H218" s="11" t="n">
        <v>320</v>
      </c>
      <c r="I218" s="11" t="n">
        <v>190</v>
      </c>
      <c r="J218" s="11">
        <f>G218*H218</f>
        <v/>
      </c>
      <c r="K218" s="11">
        <f>G218*I218</f>
        <v/>
      </c>
      <c r="L218" s="11">
        <f>J218-K218</f>
        <v/>
      </c>
      <c r="M218" s="12">
        <f>(L218/J218)</f>
        <v/>
      </c>
    </row>
    <row r="219">
      <c r="A219" s="10" t="inlineStr">
        <is>
          <t>ORD-2024036</t>
        </is>
      </c>
      <c r="B219" s="10" t="inlineStr">
        <is>
          <t>2024-09-27</t>
        </is>
      </c>
      <c r="C219" s="10" t="inlineStr">
        <is>
          <t>P114</t>
        </is>
      </c>
      <c r="D219" s="10" t="inlineStr">
        <is>
          <t>Webcam 1080p HD</t>
        </is>
      </c>
      <c r="E219" s="10" t="inlineStr">
        <is>
          <t>Accessories</t>
        </is>
      </c>
      <c r="F219" s="10" t="inlineStr">
        <is>
          <t>East</t>
        </is>
      </c>
      <c r="G219" s="10" t="n">
        <v>4</v>
      </c>
      <c r="H219" s="11" t="n">
        <v>2401</v>
      </c>
      <c r="I219" s="11" t="n">
        <v>1450</v>
      </c>
      <c r="J219" s="11">
        <f>G219*H219</f>
        <v/>
      </c>
      <c r="K219" s="11">
        <f>G219*I219</f>
        <v/>
      </c>
      <c r="L219" s="11">
        <f>J219-K219</f>
        <v/>
      </c>
      <c r="M219" s="12">
        <f>(L219/J219)</f>
        <v/>
      </c>
    </row>
    <row r="220">
      <c r="A220" s="10" t="inlineStr">
        <is>
          <t>ORD-2024291</t>
        </is>
      </c>
      <c r="B220" s="10" t="inlineStr">
        <is>
          <t>2024-09-28</t>
        </is>
      </c>
      <c r="C220" s="10" t="inlineStr">
        <is>
          <t>P104</t>
        </is>
      </c>
      <c r="D220" s="10" t="inlineStr">
        <is>
          <t>Noise-Cancelling Headphones</t>
        </is>
      </c>
      <c r="E220" s="10" t="inlineStr">
        <is>
          <t>Electronics</t>
        </is>
      </c>
      <c r="F220" s="10" t="inlineStr">
        <is>
          <t>South</t>
        </is>
      </c>
      <c r="G220" s="10" t="n">
        <v>4</v>
      </c>
      <c r="H220" s="11" t="n">
        <v>5999</v>
      </c>
      <c r="I220" s="11" t="n">
        <v>3600</v>
      </c>
      <c r="J220" s="11">
        <f>G220*H220</f>
        <v/>
      </c>
      <c r="K220" s="11">
        <f>G220*I220</f>
        <v/>
      </c>
      <c r="L220" s="11">
        <f>J220-K220</f>
        <v/>
      </c>
      <c r="M220" s="12">
        <f>(L220/J220)</f>
        <v/>
      </c>
    </row>
    <row r="221">
      <c r="A221" s="10" t="inlineStr">
        <is>
          <t>ORD-2024123</t>
        </is>
      </c>
      <c r="B221" s="10" t="inlineStr">
        <is>
          <t>2024-10-02</t>
        </is>
      </c>
      <c r="C221" s="10" t="inlineStr">
        <is>
          <t>P112</t>
        </is>
      </c>
      <c r="D221" s="10" t="inlineStr">
        <is>
          <t>USB-C Multiport Hub</t>
        </is>
      </c>
      <c r="E221" s="10" t="inlineStr">
        <is>
          <t>Accessories</t>
        </is>
      </c>
      <c r="F221" s="10" t="inlineStr">
        <is>
          <t>West</t>
        </is>
      </c>
      <c r="G221" s="10" t="n">
        <v>13</v>
      </c>
      <c r="H221" s="11" t="n">
        <v>1959.02</v>
      </c>
      <c r="I221" s="11" t="n">
        <v>1150</v>
      </c>
      <c r="J221" s="11">
        <f>G221*H221</f>
        <v/>
      </c>
      <c r="K221" s="11">
        <f>G221*I221</f>
        <v/>
      </c>
      <c r="L221" s="11">
        <f>J221-K221</f>
        <v/>
      </c>
      <c r="M221" s="12">
        <f>(L221/J221)</f>
        <v/>
      </c>
    </row>
    <row r="222">
      <c r="A222" s="10" t="inlineStr">
        <is>
          <t>ORD-2024146</t>
        </is>
      </c>
      <c r="B222" s="10" t="inlineStr">
        <is>
          <t>2024-10-02</t>
        </is>
      </c>
      <c r="C222" s="10" t="inlineStr">
        <is>
          <t>P113</t>
        </is>
      </c>
      <c r="D222" s="10" t="inlineStr">
        <is>
          <t>Laptop Backpack</t>
        </is>
      </c>
      <c r="E222" s="10" t="inlineStr">
        <is>
          <t>Accessories</t>
        </is>
      </c>
      <c r="F222" s="10" t="inlineStr">
        <is>
          <t>South</t>
        </is>
      </c>
      <c r="G222" s="10" t="n">
        <v>7</v>
      </c>
      <c r="H222" s="11" t="n">
        <v>1567.02</v>
      </c>
      <c r="I222" s="11" t="n">
        <v>820</v>
      </c>
      <c r="J222" s="11">
        <f>G222*H222</f>
        <v/>
      </c>
      <c r="K222" s="11">
        <f>G222*I222</f>
        <v/>
      </c>
      <c r="L222" s="11">
        <f>J222-K222</f>
        <v/>
      </c>
      <c r="M222" s="12">
        <f>(L222/J222)</f>
        <v/>
      </c>
    </row>
    <row r="223">
      <c r="A223" s="10" t="inlineStr">
        <is>
          <t>ORD-2024262</t>
        </is>
      </c>
      <c r="B223" s="10" t="inlineStr">
        <is>
          <t>2024-10-03</t>
        </is>
      </c>
      <c r="C223" s="10" t="inlineStr">
        <is>
          <t>P105</t>
        </is>
      </c>
      <c r="D223" s="10" t="inlineStr">
        <is>
          <t>Ergonomic Office Chair</t>
        </is>
      </c>
      <c r="E223" s="10" t="inlineStr">
        <is>
          <t>Furniture</t>
        </is>
      </c>
      <c r="F223" s="10" t="inlineStr">
        <is>
          <t>West</t>
        </is>
      </c>
      <c r="G223" s="10" t="n">
        <v>1</v>
      </c>
      <c r="H223" s="11" t="n">
        <v>9999</v>
      </c>
      <c r="I223" s="11" t="n">
        <v>6800</v>
      </c>
      <c r="J223" s="11">
        <f>G223*H223</f>
        <v/>
      </c>
      <c r="K223" s="11">
        <f>G223*I223</f>
        <v/>
      </c>
      <c r="L223" s="11">
        <f>J223-K223</f>
        <v/>
      </c>
      <c r="M223" s="12">
        <f>(L223/J223)</f>
        <v/>
      </c>
    </row>
    <row r="224">
      <c r="A224" s="10" t="inlineStr">
        <is>
          <t>ORD-2024056</t>
        </is>
      </c>
      <c r="B224" s="10" t="inlineStr">
        <is>
          <t>2024-10-04</t>
        </is>
      </c>
      <c r="C224" s="10" t="inlineStr">
        <is>
          <t>P101</t>
        </is>
      </c>
      <c r="D224" s="10" t="inlineStr">
        <is>
          <t>Laptop Pro 15</t>
        </is>
      </c>
      <c r="E224" s="10" t="inlineStr">
        <is>
          <t>Electronics</t>
        </is>
      </c>
      <c r="F224" s="10" t="inlineStr">
        <is>
          <t>West</t>
        </is>
      </c>
      <c r="G224" s="10" t="n">
        <v>1</v>
      </c>
      <c r="H224" s="11" t="n">
        <v>55000</v>
      </c>
      <c r="I224" s="11" t="n">
        <v>45000</v>
      </c>
      <c r="J224" s="11">
        <f>G224*H224</f>
        <v/>
      </c>
      <c r="K224" s="11">
        <f>G224*I224</f>
        <v/>
      </c>
      <c r="L224" s="11">
        <f>J224-K224</f>
        <v/>
      </c>
      <c r="M224" s="12">
        <f>(L224/J224)</f>
        <v/>
      </c>
    </row>
    <row r="225">
      <c r="A225" s="10" t="inlineStr">
        <is>
          <t>ORD-2024208</t>
        </is>
      </c>
      <c r="B225" s="10" t="inlineStr">
        <is>
          <t>2024-10-05</t>
        </is>
      </c>
      <c r="C225" s="10" t="inlineStr">
        <is>
          <t>P107</t>
        </is>
      </c>
      <c r="D225" s="10" t="inlineStr">
        <is>
          <t>Bookshelf Cabinet</t>
        </is>
      </c>
      <c r="E225" s="10" t="inlineStr">
        <is>
          <t>Furniture</t>
        </is>
      </c>
      <c r="F225" s="10" t="inlineStr">
        <is>
          <t>South</t>
        </is>
      </c>
      <c r="G225" s="10" t="n">
        <v>3</v>
      </c>
      <c r="H225" s="11" t="n">
        <v>5950</v>
      </c>
      <c r="I225" s="11" t="n">
        <v>4100</v>
      </c>
      <c r="J225" s="11">
        <f>G225*H225</f>
        <v/>
      </c>
      <c r="K225" s="11">
        <f>G225*I225</f>
        <v/>
      </c>
      <c r="L225" s="11">
        <f>J225-K225</f>
        <v/>
      </c>
      <c r="M225" s="12">
        <f>(L225/J225)</f>
        <v/>
      </c>
    </row>
    <row r="226">
      <c r="A226" s="10" t="inlineStr">
        <is>
          <t>ORD-2024068</t>
        </is>
      </c>
      <c r="B226" s="10" t="inlineStr">
        <is>
          <t>2024-10-05</t>
        </is>
      </c>
      <c r="C226" s="10" t="inlineStr">
        <is>
          <t>P112</t>
        </is>
      </c>
      <c r="D226" s="10" t="inlineStr">
        <is>
          <t>USB-C Multiport Hub</t>
        </is>
      </c>
      <c r="E226" s="10" t="inlineStr">
        <is>
          <t>Accessories</t>
        </is>
      </c>
      <c r="F226" s="10" t="inlineStr">
        <is>
          <t>South</t>
        </is>
      </c>
      <c r="G226" s="10" t="n">
        <v>13</v>
      </c>
      <c r="H226" s="11" t="n">
        <v>1959.02</v>
      </c>
      <c r="I226" s="11" t="n">
        <v>1150</v>
      </c>
      <c r="J226" s="11">
        <f>G226*H226</f>
        <v/>
      </c>
      <c r="K226" s="11">
        <f>G226*I226</f>
        <v/>
      </c>
      <c r="L226" s="11">
        <f>J226-K226</f>
        <v/>
      </c>
      <c r="M226" s="12">
        <f>(L226/J226)</f>
        <v/>
      </c>
    </row>
    <row r="227">
      <c r="A227" s="10" t="inlineStr">
        <is>
          <t>ORD-2024192</t>
        </is>
      </c>
      <c r="B227" s="10" t="inlineStr">
        <is>
          <t>2024-10-08</t>
        </is>
      </c>
      <c r="C227" s="10" t="inlineStr">
        <is>
          <t>P101</t>
        </is>
      </c>
      <c r="D227" s="10" t="inlineStr">
        <is>
          <t>Laptop Pro 15</t>
        </is>
      </c>
      <c r="E227" s="10" t="inlineStr">
        <is>
          <t>Electronics</t>
        </is>
      </c>
      <c r="F227" s="10" t="inlineStr">
        <is>
          <t>South</t>
        </is>
      </c>
      <c r="G227" s="10" t="n">
        <v>3</v>
      </c>
      <c r="H227" s="11" t="n">
        <v>55000</v>
      </c>
      <c r="I227" s="11" t="n">
        <v>45000</v>
      </c>
      <c r="J227" s="11">
        <f>G227*H227</f>
        <v/>
      </c>
      <c r="K227" s="11">
        <f>G227*I227</f>
        <v/>
      </c>
      <c r="L227" s="11">
        <f>J227-K227</f>
        <v/>
      </c>
      <c r="M227" s="12">
        <f>(L227/J227)</f>
        <v/>
      </c>
    </row>
    <row r="228">
      <c r="A228" s="10" t="inlineStr">
        <is>
          <t>ORD-2024050</t>
        </is>
      </c>
      <c r="B228" s="10" t="inlineStr">
        <is>
          <t>2024-10-08</t>
        </is>
      </c>
      <c r="C228" s="10" t="inlineStr">
        <is>
          <t>P102</t>
        </is>
      </c>
      <c r="D228" s="10" t="inlineStr">
        <is>
          <t>Wireless Mouse</t>
        </is>
      </c>
      <c r="E228" s="10" t="inlineStr">
        <is>
          <t>Electronics</t>
        </is>
      </c>
      <c r="F228" s="10" t="inlineStr">
        <is>
          <t>North</t>
        </is>
      </c>
      <c r="G228" s="10" t="n">
        <v>1</v>
      </c>
      <c r="H228" s="11" t="n">
        <v>750</v>
      </c>
      <c r="I228" s="11" t="n">
        <v>420</v>
      </c>
      <c r="J228" s="11">
        <f>G228*H228</f>
        <v/>
      </c>
      <c r="K228" s="11">
        <f>G228*I228</f>
        <v/>
      </c>
      <c r="L228" s="11">
        <f>J228-K228</f>
        <v/>
      </c>
      <c r="M228" s="12">
        <f>(L228/J228)</f>
        <v/>
      </c>
    </row>
    <row r="229">
      <c r="A229" s="10" t="inlineStr">
        <is>
          <t>ORD-2024157</t>
        </is>
      </c>
      <c r="B229" s="10" t="inlineStr">
        <is>
          <t>2024-10-08</t>
        </is>
      </c>
      <c r="C229" s="10" t="inlineStr">
        <is>
          <t>P106</t>
        </is>
      </c>
      <c r="D229" s="10" t="inlineStr">
        <is>
          <t>Standing Desk</t>
        </is>
      </c>
      <c r="E229" s="10" t="inlineStr">
        <is>
          <t>Furniture</t>
        </is>
      </c>
      <c r="F229" s="10" t="inlineStr">
        <is>
          <t>South</t>
        </is>
      </c>
      <c r="G229" s="10" t="n">
        <v>4</v>
      </c>
      <c r="H229" s="11" t="n">
        <v>18500</v>
      </c>
      <c r="I229" s="11" t="n">
        <v>12500</v>
      </c>
      <c r="J229" s="11">
        <f>G229*H229</f>
        <v/>
      </c>
      <c r="K229" s="11">
        <f>G229*I229</f>
        <v/>
      </c>
      <c r="L229" s="11">
        <f>J229-K229</f>
        <v/>
      </c>
      <c r="M229" s="12">
        <f>(L229/J229)</f>
        <v/>
      </c>
    </row>
    <row r="230">
      <c r="A230" s="10" t="inlineStr">
        <is>
          <t>ORD-2024199</t>
        </is>
      </c>
      <c r="B230" s="10" t="inlineStr">
        <is>
          <t>2024-10-09</t>
        </is>
      </c>
      <c r="C230" s="10" t="inlineStr">
        <is>
          <t>P107</t>
        </is>
      </c>
      <c r="D230" s="10" t="inlineStr">
        <is>
          <t>Bookshelf Cabinet</t>
        </is>
      </c>
      <c r="E230" s="10" t="inlineStr">
        <is>
          <t>Furniture</t>
        </is>
      </c>
      <c r="F230" s="10" t="inlineStr">
        <is>
          <t>North</t>
        </is>
      </c>
      <c r="G230" s="10" t="n">
        <v>1</v>
      </c>
      <c r="H230" s="11" t="n">
        <v>5652.5</v>
      </c>
      <c r="I230" s="11" t="n">
        <v>4100</v>
      </c>
      <c r="J230" s="11">
        <f>G230*H230</f>
        <v/>
      </c>
      <c r="K230" s="11">
        <f>G230*I230</f>
        <v/>
      </c>
      <c r="L230" s="11">
        <f>J230-K230</f>
        <v/>
      </c>
      <c r="M230" s="12">
        <f>(L230/J230)</f>
        <v/>
      </c>
    </row>
    <row r="231">
      <c r="A231" s="10" t="inlineStr">
        <is>
          <t>ORD-2024164</t>
        </is>
      </c>
      <c r="B231" s="10" t="inlineStr">
        <is>
          <t>2024-10-10</t>
        </is>
      </c>
      <c r="C231" s="10" t="inlineStr">
        <is>
          <t>P105</t>
        </is>
      </c>
      <c r="D231" s="10" t="inlineStr">
        <is>
          <t>Ergonomic Office Chair</t>
        </is>
      </c>
      <c r="E231" s="10" t="inlineStr">
        <is>
          <t>Furniture</t>
        </is>
      </c>
      <c r="F231" s="10" t="inlineStr">
        <is>
          <t>East</t>
        </is>
      </c>
      <c r="G231" s="10" t="n">
        <v>2</v>
      </c>
      <c r="H231" s="11" t="n">
        <v>9499.049999999999</v>
      </c>
      <c r="I231" s="11" t="n">
        <v>6800</v>
      </c>
      <c r="J231" s="11">
        <f>G231*H231</f>
        <v/>
      </c>
      <c r="K231" s="11">
        <f>G231*I231</f>
        <v/>
      </c>
      <c r="L231" s="11">
        <f>J231-K231</f>
        <v/>
      </c>
      <c r="M231" s="12">
        <f>(L231/J231)</f>
        <v/>
      </c>
    </row>
    <row r="232">
      <c r="A232" s="10" t="inlineStr">
        <is>
          <t>ORD-2024280</t>
        </is>
      </c>
      <c r="B232" s="10" t="inlineStr">
        <is>
          <t>2024-10-11</t>
        </is>
      </c>
      <c r="C232" s="10" t="inlineStr">
        <is>
          <t>P101</t>
        </is>
      </c>
      <c r="D232" s="10" t="inlineStr">
        <is>
          <t>Laptop Pro 15</t>
        </is>
      </c>
      <c r="E232" s="10" t="inlineStr">
        <is>
          <t>Electronics</t>
        </is>
      </c>
      <c r="F232" s="10" t="inlineStr">
        <is>
          <t>East</t>
        </is>
      </c>
      <c r="G232" s="10" t="n">
        <v>3</v>
      </c>
      <c r="H232" s="11" t="n">
        <v>55000</v>
      </c>
      <c r="I232" s="11" t="n">
        <v>45000</v>
      </c>
      <c r="J232" s="11">
        <f>G232*H232</f>
        <v/>
      </c>
      <c r="K232" s="11">
        <f>G232*I232</f>
        <v/>
      </c>
      <c r="L232" s="11">
        <f>J232-K232</f>
        <v/>
      </c>
      <c r="M232" s="12">
        <f>(L232/J232)</f>
        <v/>
      </c>
    </row>
    <row r="233">
      <c r="A233" s="10" t="inlineStr">
        <is>
          <t>ORD-2024153</t>
        </is>
      </c>
      <c r="B233" s="10" t="inlineStr">
        <is>
          <t>2024-10-11</t>
        </is>
      </c>
      <c r="C233" s="10" t="inlineStr">
        <is>
          <t>P113</t>
        </is>
      </c>
      <c r="D233" s="10" t="inlineStr">
        <is>
          <t>Laptop Backpack</t>
        </is>
      </c>
      <c r="E233" s="10" t="inlineStr">
        <is>
          <t>Accessories</t>
        </is>
      </c>
      <c r="F233" s="10" t="inlineStr">
        <is>
          <t>North</t>
        </is>
      </c>
      <c r="G233" s="10" t="n">
        <v>8</v>
      </c>
      <c r="H233" s="11" t="n">
        <v>1519.05</v>
      </c>
      <c r="I233" s="11" t="n">
        <v>820</v>
      </c>
      <c r="J233" s="11">
        <f>G233*H233</f>
        <v/>
      </c>
      <c r="K233" s="11">
        <f>G233*I233</f>
        <v/>
      </c>
      <c r="L233" s="11">
        <f>J233-K233</f>
        <v/>
      </c>
      <c r="M233" s="12">
        <f>(L233/J233)</f>
        <v/>
      </c>
    </row>
    <row r="234">
      <c r="A234" s="10" t="inlineStr">
        <is>
          <t>ORD-2024243</t>
        </is>
      </c>
      <c r="B234" s="10" t="inlineStr">
        <is>
          <t>2024-10-12</t>
        </is>
      </c>
      <c r="C234" s="10" t="inlineStr">
        <is>
          <t>P106</t>
        </is>
      </c>
      <c r="D234" s="10" t="inlineStr">
        <is>
          <t>Standing Desk</t>
        </is>
      </c>
      <c r="E234" s="10" t="inlineStr">
        <is>
          <t>Furniture</t>
        </is>
      </c>
      <c r="F234" s="10" t="inlineStr">
        <is>
          <t>North</t>
        </is>
      </c>
      <c r="G234" s="10" t="n">
        <v>4</v>
      </c>
      <c r="H234" s="11" t="n">
        <v>18500</v>
      </c>
      <c r="I234" s="11" t="n">
        <v>12500</v>
      </c>
      <c r="J234" s="11">
        <f>G234*H234</f>
        <v/>
      </c>
      <c r="K234" s="11">
        <f>G234*I234</f>
        <v/>
      </c>
      <c r="L234" s="11">
        <f>J234-K234</f>
        <v/>
      </c>
      <c r="M234" s="12">
        <f>(L234/J234)</f>
        <v/>
      </c>
    </row>
    <row r="235">
      <c r="A235" s="10" t="inlineStr">
        <is>
          <t>ORD-2024110</t>
        </is>
      </c>
      <c r="B235" s="10" t="inlineStr">
        <is>
          <t>2024-10-12</t>
        </is>
      </c>
      <c r="C235" s="10" t="inlineStr">
        <is>
          <t>P104</t>
        </is>
      </c>
      <c r="D235" s="10" t="inlineStr">
        <is>
          <t>Noise-Cancelling Headphones</t>
        </is>
      </c>
      <c r="E235" s="10" t="inlineStr">
        <is>
          <t>Electronics</t>
        </is>
      </c>
      <c r="F235" s="10" t="inlineStr">
        <is>
          <t>Central</t>
        </is>
      </c>
      <c r="G235" s="10" t="n">
        <v>1</v>
      </c>
      <c r="H235" s="11" t="n">
        <v>5699.05</v>
      </c>
      <c r="I235" s="11" t="n">
        <v>3600</v>
      </c>
      <c r="J235" s="11">
        <f>G235*H235</f>
        <v/>
      </c>
      <c r="K235" s="11">
        <f>G235*I235</f>
        <v/>
      </c>
      <c r="L235" s="11">
        <f>J235-K235</f>
        <v/>
      </c>
      <c r="M235" s="12">
        <f>(L235/J235)</f>
        <v/>
      </c>
    </row>
    <row r="236">
      <c r="A236" s="10" t="inlineStr">
        <is>
          <t>ORD-2024081</t>
        </is>
      </c>
      <c r="B236" s="10" t="inlineStr">
        <is>
          <t>2024-10-13</t>
        </is>
      </c>
      <c r="C236" s="10" t="inlineStr">
        <is>
          <t>P114</t>
        </is>
      </c>
      <c r="D236" s="10" t="inlineStr">
        <is>
          <t>Webcam 1080p HD</t>
        </is>
      </c>
      <c r="E236" s="10" t="inlineStr">
        <is>
          <t>Accessories</t>
        </is>
      </c>
      <c r="F236" s="10" t="inlineStr">
        <is>
          <t>South</t>
        </is>
      </c>
      <c r="G236" s="10" t="n">
        <v>10</v>
      </c>
      <c r="H236" s="11" t="n">
        <v>2450</v>
      </c>
      <c r="I236" s="11" t="n">
        <v>1450</v>
      </c>
      <c r="J236" s="11">
        <f>G236*H236</f>
        <v/>
      </c>
      <c r="K236" s="11">
        <f>G236*I236</f>
        <v/>
      </c>
      <c r="L236" s="11">
        <f>J236-K236</f>
        <v/>
      </c>
      <c r="M236" s="12">
        <f>(L236/J236)</f>
        <v/>
      </c>
    </row>
    <row r="237">
      <c r="A237" s="10" t="inlineStr">
        <is>
          <t>ORD-2024259</t>
        </is>
      </c>
      <c r="B237" s="10" t="inlineStr">
        <is>
          <t>2024-10-16</t>
        </is>
      </c>
      <c r="C237" s="10" t="inlineStr">
        <is>
          <t>P104</t>
        </is>
      </c>
      <c r="D237" s="10" t="inlineStr">
        <is>
          <t>Noise-Cancelling Headphones</t>
        </is>
      </c>
      <c r="E237" s="10" t="inlineStr">
        <is>
          <t>Electronics</t>
        </is>
      </c>
      <c r="F237" s="10" t="inlineStr">
        <is>
          <t>North</t>
        </is>
      </c>
      <c r="G237" s="10" t="n">
        <v>2</v>
      </c>
      <c r="H237" s="11" t="n">
        <v>5879.02</v>
      </c>
      <c r="I237" s="11" t="n">
        <v>3600</v>
      </c>
      <c r="J237" s="11">
        <f>G237*H237</f>
        <v/>
      </c>
      <c r="K237" s="11">
        <f>G237*I237</f>
        <v/>
      </c>
      <c r="L237" s="11">
        <f>J237-K237</f>
        <v/>
      </c>
      <c r="M237" s="12">
        <f>(L237/J237)</f>
        <v/>
      </c>
    </row>
    <row r="238">
      <c r="A238" s="10" t="inlineStr">
        <is>
          <t>ORD-2024182</t>
        </is>
      </c>
      <c r="B238" s="10" t="inlineStr">
        <is>
          <t>2024-10-18</t>
        </is>
      </c>
      <c r="C238" s="10" t="inlineStr">
        <is>
          <t>P105</t>
        </is>
      </c>
      <c r="D238" s="10" t="inlineStr">
        <is>
          <t>Ergonomic Office Chair</t>
        </is>
      </c>
      <c r="E238" s="10" t="inlineStr">
        <is>
          <t>Furniture</t>
        </is>
      </c>
      <c r="F238" s="10" t="inlineStr">
        <is>
          <t>South</t>
        </is>
      </c>
      <c r="G238" s="10" t="n">
        <v>4</v>
      </c>
      <c r="H238" s="11" t="n">
        <v>9999</v>
      </c>
      <c r="I238" s="11" t="n">
        <v>6800</v>
      </c>
      <c r="J238" s="11">
        <f>G238*H238</f>
        <v/>
      </c>
      <c r="K238" s="11">
        <f>G238*I238</f>
        <v/>
      </c>
      <c r="L238" s="11">
        <f>J238-K238</f>
        <v/>
      </c>
      <c r="M238" s="12">
        <f>(L238/J238)</f>
        <v/>
      </c>
    </row>
    <row r="239">
      <c r="A239" s="10" t="inlineStr">
        <is>
          <t>ORD-2024060</t>
        </is>
      </c>
      <c r="B239" s="10" t="inlineStr">
        <is>
          <t>2024-10-18</t>
        </is>
      </c>
      <c r="C239" s="10" t="inlineStr">
        <is>
          <t>P104</t>
        </is>
      </c>
      <c r="D239" s="10" t="inlineStr">
        <is>
          <t>Noise-Cancelling Headphones</t>
        </is>
      </c>
      <c r="E239" s="10" t="inlineStr">
        <is>
          <t>Electronics</t>
        </is>
      </c>
      <c r="F239" s="10" t="inlineStr">
        <is>
          <t>East</t>
        </is>
      </c>
      <c r="G239" s="10" t="n">
        <v>1</v>
      </c>
      <c r="H239" s="11" t="n">
        <v>5879.02</v>
      </c>
      <c r="I239" s="11" t="n">
        <v>3600</v>
      </c>
      <c r="J239" s="11">
        <f>G239*H239</f>
        <v/>
      </c>
      <c r="K239" s="11">
        <f>G239*I239</f>
        <v/>
      </c>
      <c r="L239" s="11">
        <f>J239-K239</f>
        <v/>
      </c>
      <c r="M239" s="12">
        <f>(L239/J239)</f>
        <v/>
      </c>
    </row>
    <row r="240">
      <c r="A240" s="10" t="inlineStr">
        <is>
          <t>ORD-2024101</t>
        </is>
      </c>
      <c r="B240" s="10" t="inlineStr">
        <is>
          <t>2024-10-18</t>
        </is>
      </c>
      <c r="C240" s="10" t="inlineStr">
        <is>
          <t>P105</t>
        </is>
      </c>
      <c r="D240" s="10" t="inlineStr">
        <is>
          <t>Ergonomic Office Chair</t>
        </is>
      </c>
      <c r="E240" s="10" t="inlineStr">
        <is>
          <t>Furniture</t>
        </is>
      </c>
      <c r="F240" s="10" t="inlineStr">
        <is>
          <t>South</t>
        </is>
      </c>
      <c r="G240" s="10" t="n">
        <v>1</v>
      </c>
      <c r="H240" s="11" t="n">
        <v>9999</v>
      </c>
      <c r="I240" s="11" t="n">
        <v>6800</v>
      </c>
      <c r="J240" s="11">
        <f>G240*H240</f>
        <v/>
      </c>
      <c r="K240" s="11">
        <f>G240*I240</f>
        <v/>
      </c>
      <c r="L240" s="11">
        <f>J240-K240</f>
        <v/>
      </c>
      <c r="M240" s="12">
        <f>(L240/J240)</f>
        <v/>
      </c>
    </row>
    <row r="241">
      <c r="A241" s="10" t="inlineStr">
        <is>
          <t>ORD-2024138</t>
        </is>
      </c>
      <c r="B241" s="10" t="inlineStr">
        <is>
          <t>2024-10-21</t>
        </is>
      </c>
      <c r="C241" s="10" t="inlineStr">
        <is>
          <t>P111</t>
        </is>
      </c>
      <c r="D241" s="10" t="inlineStr">
        <is>
          <t>Desk Organizer Tray</t>
        </is>
      </c>
      <c r="E241" s="10" t="inlineStr">
        <is>
          <t>Office Supplies</t>
        </is>
      </c>
      <c r="F241" s="10" t="inlineStr">
        <is>
          <t>Central</t>
        </is>
      </c>
      <c r="G241" s="10" t="n">
        <v>7</v>
      </c>
      <c r="H241" s="11" t="n">
        <v>456</v>
      </c>
      <c r="I241" s="11" t="n">
        <v>260</v>
      </c>
      <c r="J241" s="11">
        <f>G241*H241</f>
        <v/>
      </c>
      <c r="K241" s="11">
        <f>G241*I241</f>
        <v/>
      </c>
      <c r="L241" s="11">
        <f>J241-K241</f>
        <v/>
      </c>
      <c r="M241" s="12">
        <f>(L241/J241)</f>
        <v/>
      </c>
    </row>
    <row r="242">
      <c r="A242" s="10" t="inlineStr">
        <is>
          <t>ORD-2024094</t>
        </is>
      </c>
      <c r="B242" s="10" t="inlineStr">
        <is>
          <t>2024-10-22</t>
        </is>
      </c>
      <c r="C242" s="10" t="inlineStr">
        <is>
          <t>P104</t>
        </is>
      </c>
      <c r="D242" s="10" t="inlineStr">
        <is>
          <t>Noise-Cancelling Headphones</t>
        </is>
      </c>
      <c r="E242" s="10" t="inlineStr">
        <is>
          <t>Electronics</t>
        </is>
      </c>
      <c r="F242" s="10" t="inlineStr">
        <is>
          <t>North</t>
        </is>
      </c>
      <c r="G242" s="10" t="n">
        <v>4</v>
      </c>
      <c r="H242" s="11" t="n">
        <v>5999</v>
      </c>
      <c r="I242" s="11" t="n">
        <v>3600</v>
      </c>
      <c r="J242" s="11">
        <f>G242*H242</f>
        <v/>
      </c>
      <c r="K242" s="11">
        <f>G242*I242</f>
        <v/>
      </c>
      <c r="L242" s="11">
        <f>J242-K242</f>
        <v/>
      </c>
      <c r="M242" s="12">
        <f>(L242/J242)</f>
        <v/>
      </c>
    </row>
    <row r="243">
      <c r="A243" s="10" t="inlineStr">
        <is>
          <t>ORD-2024092</t>
        </is>
      </c>
      <c r="B243" s="10" t="inlineStr">
        <is>
          <t>2024-10-24</t>
        </is>
      </c>
      <c r="C243" s="10" t="inlineStr">
        <is>
          <t>P105</t>
        </is>
      </c>
      <c r="D243" s="10" t="inlineStr">
        <is>
          <t>Ergonomic Office Chair</t>
        </is>
      </c>
      <c r="E243" s="10" t="inlineStr">
        <is>
          <t>Furniture</t>
        </is>
      </c>
      <c r="F243" s="10" t="inlineStr">
        <is>
          <t>North</t>
        </is>
      </c>
      <c r="G243" s="10" t="n">
        <v>4</v>
      </c>
      <c r="H243" s="11" t="n">
        <v>9999</v>
      </c>
      <c r="I243" s="11" t="n">
        <v>6800</v>
      </c>
      <c r="J243" s="11">
        <f>G243*H243</f>
        <v/>
      </c>
      <c r="K243" s="11">
        <f>G243*I243</f>
        <v/>
      </c>
      <c r="L243" s="11">
        <f>J243-K243</f>
        <v/>
      </c>
      <c r="M243" s="12">
        <f>(L243/J243)</f>
        <v/>
      </c>
    </row>
    <row r="244">
      <c r="A244" s="10" t="inlineStr">
        <is>
          <t>ORD-2024057</t>
        </is>
      </c>
      <c r="B244" s="10" t="inlineStr">
        <is>
          <t>2024-10-26</t>
        </is>
      </c>
      <c r="C244" s="10" t="inlineStr">
        <is>
          <t>P108</t>
        </is>
      </c>
      <c r="D244" s="10" t="inlineStr">
        <is>
          <t>Executive Desk Lamp</t>
        </is>
      </c>
      <c r="E244" s="10" t="inlineStr">
        <is>
          <t>Furniture</t>
        </is>
      </c>
      <c r="F244" s="10" t="inlineStr">
        <is>
          <t>South</t>
        </is>
      </c>
      <c r="G244" s="10" t="n">
        <v>3</v>
      </c>
      <c r="H244" s="11" t="n">
        <v>1499</v>
      </c>
      <c r="I244" s="11" t="n">
        <v>850</v>
      </c>
      <c r="J244" s="11">
        <f>G244*H244</f>
        <v/>
      </c>
      <c r="K244" s="11">
        <f>G244*I244</f>
        <v/>
      </c>
      <c r="L244" s="11">
        <f>J244-K244</f>
        <v/>
      </c>
      <c r="M244" s="12">
        <f>(L244/J244)</f>
        <v/>
      </c>
    </row>
    <row r="245">
      <c r="A245" s="10" t="inlineStr">
        <is>
          <t>ORD-2024245</t>
        </is>
      </c>
      <c r="B245" s="10" t="inlineStr">
        <is>
          <t>2024-10-26</t>
        </is>
      </c>
      <c r="C245" s="10" t="inlineStr">
        <is>
          <t>P107</t>
        </is>
      </c>
      <c r="D245" s="10" t="inlineStr">
        <is>
          <t>Bookshelf Cabinet</t>
        </is>
      </c>
      <c r="E245" s="10" t="inlineStr">
        <is>
          <t>Furniture</t>
        </is>
      </c>
      <c r="F245" s="10" t="inlineStr">
        <is>
          <t>West</t>
        </is>
      </c>
      <c r="G245" s="10" t="n">
        <v>3</v>
      </c>
      <c r="H245" s="11" t="n">
        <v>5950</v>
      </c>
      <c r="I245" s="11" t="n">
        <v>4100</v>
      </c>
      <c r="J245" s="11">
        <f>G245*H245</f>
        <v/>
      </c>
      <c r="K245" s="11">
        <f>G245*I245</f>
        <v/>
      </c>
      <c r="L245" s="11">
        <f>J245-K245</f>
        <v/>
      </c>
      <c r="M245" s="12">
        <f>(L245/J245)</f>
        <v/>
      </c>
    </row>
    <row r="246">
      <c r="A246" s="10" t="inlineStr">
        <is>
          <t>ORD-2024186</t>
        </is>
      </c>
      <c r="B246" s="10" t="inlineStr">
        <is>
          <t>2024-10-27</t>
        </is>
      </c>
      <c r="C246" s="10" t="inlineStr">
        <is>
          <t>P101</t>
        </is>
      </c>
      <c r="D246" s="10" t="inlineStr">
        <is>
          <t>Laptop Pro 15</t>
        </is>
      </c>
      <c r="E246" s="10" t="inlineStr">
        <is>
          <t>Electronics</t>
        </is>
      </c>
      <c r="F246" s="10" t="inlineStr">
        <is>
          <t>Central</t>
        </is>
      </c>
      <c r="G246" s="10" t="n">
        <v>3</v>
      </c>
      <c r="H246" s="11" t="n">
        <v>53900</v>
      </c>
      <c r="I246" s="11" t="n">
        <v>45000</v>
      </c>
      <c r="J246" s="11">
        <f>G246*H246</f>
        <v/>
      </c>
      <c r="K246" s="11">
        <f>G246*I246</f>
        <v/>
      </c>
      <c r="L246" s="11">
        <f>J246-K246</f>
        <v/>
      </c>
      <c r="M246" s="12">
        <f>(L246/J246)</f>
        <v/>
      </c>
    </row>
    <row r="247">
      <c r="A247" s="10" t="inlineStr">
        <is>
          <t>ORD-2024206</t>
        </is>
      </c>
      <c r="B247" s="10" t="inlineStr">
        <is>
          <t>2024-10-27</t>
        </is>
      </c>
      <c r="C247" s="10" t="inlineStr">
        <is>
          <t>P110</t>
        </is>
      </c>
      <c r="D247" s="10" t="inlineStr">
        <is>
          <t>A4 Copier Paper (500s)</t>
        </is>
      </c>
      <c r="E247" s="10" t="inlineStr">
        <is>
          <t>Office Supplies</t>
        </is>
      </c>
      <c r="F247" s="10" t="inlineStr">
        <is>
          <t>Central</t>
        </is>
      </c>
      <c r="G247" s="10" t="n">
        <v>8</v>
      </c>
      <c r="H247" s="11" t="n">
        <v>320</v>
      </c>
      <c r="I247" s="11" t="n">
        <v>190</v>
      </c>
      <c r="J247" s="11">
        <f>G247*H247</f>
        <v/>
      </c>
      <c r="K247" s="11">
        <f>G247*I247</f>
        <v/>
      </c>
      <c r="L247" s="11">
        <f>J247-K247</f>
        <v/>
      </c>
      <c r="M247" s="12">
        <f>(L247/J247)</f>
        <v/>
      </c>
    </row>
    <row r="248">
      <c r="A248" s="10" t="inlineStr">
        <is>
          <t>ORD-2024228</t>
        </is>
      </c>
      <c r="B248" s="10" t="inlineStr">
        <is>
          <t>2024-10-27</t>
        </is>
      </c>
      <c r="C248" s="10" t="inlineStr">
        <is>
          <t>P105</t>
        </is>
      </c>
      <c r="D248" s="10" t="inlineStr">
        <is>
          <t>Ergonomic Office Chair</t>
        </is>
      </c>
      <c r="E248" s="10" t="inlineStr">
        <is>
          <t>Furniture</t>
        </is>
      </c>
      <c r="F248" s="10" t="inlineStr">
        <is>
          <t>East</t>
        </is>
      </c>
      <c r="G248" s="10" t="n">
        <v>4</v>
      </c>
      <c r="H248" s="11" t="n">
        <v>9999</v>
      </c>
      <c r="I248" s="11" t="n">
        <v>6800</v>
      </c>
      <c r="J248" s="11">
        <f>G248*H248</f>
        <v/>
      </c>
      <c r="K248" s="11">
        <f>G248*I248</f>
        <v/>
      </c>
      <c r="L248" s="11">
        <f>J248-K248</f>
        <v/>
      </c>
      <c r="M248" s="12">
        <f>(L248/J248)</f>
        <v/>
      </c>
    </row>
    <row r="249">
      <c r="A249" s="10" t="inlineStr">
        <is>
          <t>ORD-2024127</t>
        </is>
      </c>
      <c r="B249" s="10" t="inlineStr">
        <is>
          <t>2024-10-30</t>
        </is>
      </c>
      <c r="C249" s="10" t="inlineStr">
        <is>
          <t>P110</t>
        </is>
      </c>
      <c r="D249" s="10" t="inlineStr">
        <is>
          <t>A4 Copier Paper (500s)</t>
        </is>
      </c>
      <c r="E249" s="10" t="inlineStr">
        <is>
          <t>Office Supplies</t>
        </is>
      </c>
      <c r="F249" s="10" t="inlineStr">
        <is>
          <t>East</t>
        </is>
      </c>
      <c r="G249" s="10" t="n">
        <v>2</v>
      </c>
      <c r="H249" s="11" t="n">
        <v>304</v>
      </c>
      <c r="I249" s="11" t="n">
        <v>190</v>
      </c>
      <c r="J249" s="11">
        <f>G249*H249</f>
        <v/>
      </c>
      <c r="K249" s="11">
        <f>G249*I249</f>
        <v/>
      </c>
      <c r="L249" s="11">
        <f>J249-K249</f>
        <v/>
      </c>
      <c r="M249" s="12">
        <f>(L249/J249)</f>
        <v/>
      </c>
    </row>
    <row r="250">
      <c r="A250" s="10" t="inlineStr">
        <is>
          <t>ORD-2024112</t>
        </is>
      </c>
      <c r="B250" s="10" t="inlineStr">
        <is>
          <t>2024-10-31</t>
        </is>
      </c>
      <c r="C250" s="10" t="inlineStr">
        <is>
          <t>P106</t>
        </is>
      </c>
      <c r="D250" s="10" t="inlineStr">
        <is>
          <t>Standing Desk</t>
        </is>
      </c>
      <c r="E250" s="10" t="inlineStr">
        <is>
          <t>Furniture</t>
        </is>
      </c>
      <c r="F250" s="10" t="inlineStr">
        <is>
          <t>Central</t>
        </is>
      </c>
      <c r="G250" s="10" t="n">
        <v>4</v>
      </c>
      <c r="H250" s="11" t="n">
        <v>18130</v>
      </c>
      <c r="I250" s="11" t="n">
        <v>12500</v>
      </c>
      <c r="J250" s="11">
        <f>G250*H250</f>
        <v/>
      </c>
      <c r="K250" s="11">
        <f>G250*I250</f>
        <v/>
      </c>
      <c r="L250" s="11">
        <f>J250-K250</f>
        <v/>
      </c>
      <c r="M250" s="12">
        <f>(L250/J250)</f>
        <v/>
      </c>
    </row>
    <row r="251">
      <c r="A251" s="10" t="inlineStr">
        <is>
          <t>ORD-2024171</t>
        </is>
      </c>
      <c r="B251" s="10" t="inlineStr">
        <is>
          <t>2024-11-01</t>
        </is>
      </c>
      <c r="C251" s="10" t="inlineStr">
        <is>
          <t>P113</t>
        </is>
      </c>
      <c r="D251" s="10" t="inlineStr">
        <is>
          <t>Laptop Backpack</t>
        </is>
      </c>
      <c r="E251" s="10" t="inlineStr">
        <is>
          <t>Accessories</t>
        </is>
      </c>
      <c r="F251" s="10" t="inlineStr">
        <is>
          <t>East</t>
        </is>
      </c>
      <c r="G251" s="10" t="n">
        <v>13</v>
      </c>
      <c r="H251" s="11" t="n">
        <v>1567.02</v>
      </c>
      <c r="I251" s="11" t="n">
        <v>820</v>
      </c>
      <c r="J251" s="11">
        <f>G251*H251</f>
        <v/>
      </c>
      <c r="K251" s="11">
        <f>G251*I251</f>
        <v/>
      </c>
      <c r="L251" s="11">
        <f>J251-K251</f>
        <v/>
      </c>
      <c r="M251" s="12">
        <f>(L251/J251)</f>
        <v/>
      </c>
    </row>
    <row r="252">
      <c r="A252" s="10" t="inlineStr">
        <is>
          <t>ORD-2024151</t>
        </is>
      </c>
      <c r="B252" s="10" t="inlineStr">
        <is>
          <t>2024-11-01</t>
        </is>
      </c>
      <c r="C252" s="10" t="inlineStr">
        <is>
          <t>P112</t>
        </is>
      </c>
      <c r="D252" s="10" t="inlineStr">
        <is>
          <t>USB-C Multiport Hub</t>
        </is>
      </c>
      <c r="E252" s="10" t="inlineStr">
        <is>
          <t>Accessories</t>
        </is>
      </c>
      <c r="F252" s="10" t="inlineStr">
        <is>
          <t>West</t>
        </is>
      </c>
      <c r="G252" s="10" t="n">
        <v>9</v>
      </c>
      <c r="H252" s="11" t="n">
        <v>1999</v>
      </c>
      <c r="I252" s="11" t="n">
        <v>1150</v>
      </c>
      <c r="J252" s="11">
        <f>G252*H252</f>
        <v/>
      </c>
      <c r="K252" s="11">
        <f>G252*I252</f>
        <v/>
      </c>
      <c r="L252" s="11">
        <f>J252-K252</f>
        <v/>
      </c>
      <c r="M252" s="12">
        <f>(L252/J252)</f>
        <v/>
      </c>
    </row>
    <row r="253">
      <c r="A253" s="10" t="inlineStr">
        <is>
          <t>ORD-2024024</t>
        </is>
      </c>
      <c r="B253" s="10" t="inlineStr">
        <is>
          <t>2024-11-01</t>
        </is>
      </c>
      <c r="C253" s="10" t="inlineStr">
        <is>
          <t>P102</t>
        </is>
      </c>
      <c r="D253" s="10" t="inlineStr">
        <is>
          <t>Wireless Mouse</t>
        </is>
      </c>
      <c r="E253" s="10" t="inlineStr">
        <is>
          <t>Electronics</t>
        </is>
      </c>
      <c r="F253" s="10" t="inlineStr">
        <is>
          <t>South</t>
        </is>
      </c>
      <c r="G253" s="10" t="n">
        <v>8</v>
      </c>
      <c r="H253" s="11" t="n">
        <v>735</v>
      </c>
      <c r="I253" s="11" t="n">
        <v>420</v>
      </c>
      <c r="J253" s="11">
        <f>G253*H253</f>
        <v/>
      </c>
      <c r="K253" s="11">
        <f>G253*I253</f>
        <v/>
      </c>
      <c r="L253" s="11">
        <f>J253-K253</f>
        <v/>
      </c>
      <c r="M253" s="12">
        <f>(L253/J253)</f>
        <v/>
      </c>
    </row>
    <row r="254">
      <c r="A254" s="10" t="inlineStr">
        <is>
          <t>ORD-2024293</t>
        </is>
      </c>
      <c r="B254" s="10" t="inlineStr">
        <is>
          <t>2024-11-01</t>
        </is>
      </c>
      <c r="C254" s="10" t="inlineStr">
        <is>
          <t>P102</t>
        </is>
      </c>
      <c r="D254" s="10" t="inlineStr">
        <is>
          <t>Wireless Mouse</t>
        </is>
      </c>
      <c r="E254" s="10" t="inlineStr">
        <is>
          <t>Electronics</t>
        </is>
      </c>
      <c r="F254" s="10" t="inlineStr">
        <is>
          <t>West</t>
        </is>
      </c>
      <c r="G254" s="10" t="n">
        <v>3</v>
      </c>
      <c r="H254" s="11" t="n">
        <v>750</v>
      </c>
      <c r="I254" s="11" t="n">
        <v>420</v>
      </c>
      <c r="J254" s="11">
        <f>G254*H254</f>
        <v/>
      </c>
      <c r="K254" s="11">
        <f>G254*I254</f>
        <v/>
      </c>
      <c r="L254" s="11">
        <f>J254-K254</f>
        <v/>
      </c>
      <c r="M254" s="12">
        <f>(L254/J254)</f>
        <v/>
      </c>
    </row>
    <row r="255">
      <c r="A255" s="10" t="inlineStr">
        <is>
          <t>ORD-2024261</t>
        </is>
      </c>
      <c r="B255" s="10" t="inlineStr">
        <is>
          <t>2024-11-01</t>
        </is>
      </c>
      <c r="C255" s="10" t="inlineStr">
        <is>
          <t>P101</t>
        </is>
      </c>
      <c r="D255" s="10" t="inlineStr">
        <is>
          <t>Laptop Pro 15</t>
        </is>
      </c>
      <c r="E255" s="10" t="inlineStr">
        <is>
          <t>Electronics</t>
        </is>
      </c>
      <c r="F255" s="10" t="inlineStr">
        <is>
          <t>North</t>
        </is>
      </c>
      <c r="G255" s="10" t="n">
        <v>2</v>
      </c>
      <c r="H255" s="11" t="n">
        <v>55000</v>
      </c>
      <c r="I255" s="11" t="n">
        <v>45000</v>
      </c>
      <c r="J255" s="11">
        <f>G255*H255</f>
        <v/>
      </c>
      <c r="K255" s="11">
        <f>G255*I255</f>
        <v/>
      </c>
      <c r="L255" s="11">
        <f>J255-K255</f>
        <v/>
      </c>
      <c r="M255" s="12">
        <f>(L255/J255)</f>
        <v/>
      </c>
    </row>
    <row r="256">
      <c r="A256" s="10" t="inlineStr">
        <is>
          <t>ORD-2024274</t>
        </is>
      </c>
      <c r="B256" s="10" t="inlineStr">
        <is>
          <t>2024-11-05</t>
        </is>
      </c>
      <c r="C256" s="10" t="inlineStr">
        <is>
          <t>P107</t>
        </is>
      </c>
      <c r="D256" s="10" t="inlineStr">
        <is>
          <t>Bookshelf Cabinet</t>
        </is>
      </c>
      <c r="E256" s="10" t="inlineStr">
        <is>
          <t>Furniture</t>
        </is>
      </c>
      <c r="F256" s="10" t="inlineStr">
        <is>
          <t>North</t>
        </is>
      </c>
      <c r="G256" s="10" t="n">
        <v>1</v>
      </c>
      <c r="H256" s="11" t="n">
        <v>5831</v>
      </c>
      <c r="I256" s="11" t="n">
        <v>4100</v>
      </c>
      <c r="J256" s="11">
        <f>G256*H256</f>
        <v/>
      </c>
      <c r="K256" s="11">
        <f>G256*I256</f>
        <v/>
      </c>
      <c r="L256" s="11">
        <f>J256-K256</f>
        <v/>
      </c>
      <c r="M256" s="12">
        <f>(L256/J256)</f>
        <v/>
      </c>
    </row>
    <row r="257">
      <c r="A257" s="10" t="inlineStr">
        <is>
          <t>ORD-2024185</t>
        </is>
      </c>
      <c r="B257" s="10" t="inlineStr">
        <is>
          <t>2024-11-05</t>
        </is>
      </c>
      <c r="C257" s="10" t="inlineStr">
        <is>
          <t>P105</t>
        </is>
      </c>
      <c r="D257" s="10" t="inlineStr">
        <is>
          <t>Ergonomic Office Chair</t>
        </is>
      </c>
      <c r="E257" s="10" t="inlineStr">
        <is>
          <t>Furniture</t>
        </is>
      </c>
      <c r="F257" s="10" t="inlineStr">
        <is>
          <t>North</t>
        </is>
      </c>
      <c r="G257" s="10" t="n">
        <v>2</v>
      </c>
      <c r="H257" s="11" t="n">
        <v>9799.02</v>
      </c>
      <c r="I257" s="11" t="n">
        <v>6800</v>
      </c>
      <c r="J257" s="11">
        <f>G257*H257</f>
        <v/>
      </c>
      <c r="K257" s="11">
        <f>G257*I257</f>
        <v/>
      </c>
      <c r="L257" s="11">
        <f>J257-K257</f>
        <v/>
      </c>
      <c r="M257" s="12">
        <f>(L257/J257)</f>
        <v/>
      </c>
    </row>
    <row r="258">
      <c r="A258" s="10" t="inlineStr">
        <is>
          <t>ORD-2024234</t>
        </is>
      </c>
      <c r="B258" s="10" t="inlineStr">
        <is>
          <t>2024-11-06</t>
        </is>
      </c>
      <c r="C258" s="10" t="inlineStr">
        <is>
          <t>P113</t>
        </is>
      </c>
      <c r="D258" s="10" t="inlineStr">
        <is>
          <t>Laptop Backpack</t>
        </is>
      </c>
      <c r="E258" s="10" t="inlineStr">
        <is>
          <t>Accessories</t>
        </is>
      </c>
      <c r="F258" s="10" t="inlineStr">
        <is>
          <t>South</t>
        </is>
      </c>
      <c r="G258" s="10" t="n">
        <v>11</v>
      </c>
      <c r="H258" s="11" t="n">
        <v>1599</v>
      </c>
      <c r="I258" s="11" t="n">
        <v>820</v>
      </c>
      <c r="J258" s="11">
        <f>G258*H258</f>
        <v/>
      </c>
      <c r="K258" s="11">
        <f>G258*I258</f>
        <v/>
      </c>
      <c r="L258" s="11">
        <f>J258-K258</f>
        <v/>
      </c>
      <c r="M258" s="12">
        <f>(L258/J258)</f>
        <v/>
      </c>
    </row>
    <row r="259">
      <c r="A259" s="10" t="inlineStr">
        <is>
          <t>ORD-2024136</t>
        </is>
      </c>
      <c r="B259" s="10" t="inlineStr">
        <is>
          <t>2024-11-06</t>
        </is>
      </c>
      <c r="C259" s="10" t="inlineStr">
        <is>
          <t>P110</t>
        </is>
      </c>
      <c r="D259" s="10" t="inlineStr">
        <is>
          <t>A4 Copier Paper (500s)</t>
        </is>
      </c>
      <c r="E259" s="10" t="inlineStr">
        <is>
          <t>Office Supplies</t>
        </is>
      </c>
      <c r="F259" s="10" t="inlineStr">
        <is>
          <t>Central</t>
        </is>
      </c>
      <c r="G259" s="10" t="n">
        <v>12</v>
      </c>
      <c r="H259" s="11" t="n">
        <v>320</v>
      </c>
      <c r="I259" s="11" t="n">
        <v>190</v>
      </c>
      <c r="J259" s="11">
        <f>G259*H259</f>
        <v/>
      </c>
      <c r="K259" s="11">
        <f>G259*I259</f>
        <v/>
      </c>
      <c r="L259" s="11">
        <f>J259-K259</f>
        <v/>
      </c>
      <c r="M259" s="12">
        <f>(L259/J259)</f>
        <v/>
      </c>
    </row>
    <row r="260">
      <c r="A260" s="10" t="inlineStr">
        <is>
          <t>ORD-2024287</t>
        </is>
      </c>
      <c r="B260" s="10" t="inlineStr">
        <is>
          <t>2024-11-07</t>
        </is>
      </c>
      <c r="C260" s="10" t="inlineStr">
        <is>
          <t>P111</t>
        </is>
      </c>
      <c r="D260" s="10" t="inlineStr">
        <is>
          <t>Desk Organizer Tray</t>
        </is>
      </c>
      <c r="E260" s="10" t="inlineStr">
        <is>
          <t>Office Supplies</t>
        </is>
      </c>
      <c r="F260" s="10" t="inlineStr">
        <is>
          <t>West</t>
        </is>
      </c>
      <c r="G260" s="10" t="n">
        <v>5</v>
      </c>
      <c r="H260" s="11" t="n">
        <v>480</v>
      </c>
      <c r="I260" s="11" t="n">
        <v>260</v>
      </c>
      <c r="J260" s="11">
        <f>G260*H260</f>
        <v/>
      </c>
      <c r="K260" s="11">
        <f>G260*I260</f>
        <v/>
      </c>
      <c r="L260" s="11">
        <f>J260-K260</f>
        <v/>
      </c>
      <c r="M260" s="12">
        <f>(L260/J260)</f>
        <v/>
      </c>
    </row>
    <row r="261">
      <c r="A261" s="10" t="inlineStr">
        <is>
          <t>ORD-2024015</t>
        </is>
      </c>
      <c r="B261" s="10" t="inlineStr">
        <is>
          <t>2024-11-07</t>
        </is>
      </c>
      <c r="C261" s="10" t="inlineStr">
        <is>
          <t>P111</t>
        </is>
      </c>
      <c r="D261" s="10" t="inlineStr">
        <is>
          <t>Desk Organizer Tray</t>
        </is>
      </c>
      <c r="E261" s="10" t="inlineStr">
        <is>
          <t>Office Supplies</t>
        </is>
      </c>
      <c r="F261" s="10" t="inlineStr">
        <is>
          <t>North</t>
        </is>
      </c>
      <c r="G261" s="10" t="n">
        <v>12</v>
      </c>
      <c r="H261" s="11" t="n">
        <v>480</v>
      </c>
      <c r="I261" s="11" t="n">
        <v>260</v>
      </c>
      <c r="J261" s="11">
        <f>G261*H261</f>
        <v/>
      </c>
      <c r="K261" s="11">
        <f>G261*I261</f>
        <v/>
      </c>
      <c r="L261" s="11">
        <f>J261-K261</f>
        <v/>
      </c>
      <c r="M261" s="12">
        <f>(L261/J261)</f>
        <v/>
      </c>
    </row>
    <row r="262">
      <c r="A262" s="10" t="inlineStr">
        <is>
          <t>ORD-2024224</t>
        </is>
      </c>
      <c r="B262" s="10" t="inlineStr">
        <is>
          <t>2024-11-08</t>
        </is>
      </c>
      <c r="C262" s="10" t="inlineStr">
        <is>
          <t>P114</t>
        </is>
      </c>
      <c r="D262" s="10" t="inlineStr">
        <is>
          <t>Webcam 1080p HD</t>
        </is>
      </c>
      <c r="E262" s="10" t="inlineStr">
        <is>
          <t>Accessories</t>
        </is>
      </c>
      <c r="F262" s="10" t="inlineStr">
        <is>
          <t>South</t>
        </is>
      </c>
      <c r="G262" s="10" t="n">
        <v>11</v>
      </c>
      <c r="H262" s="11" t="n">
        <v>2450</v>
      </c>
      <c r="I262" s="11" t="n">
        <v>1450</v>
      </c>
      <c r="J262" s="11">
        <f>G262*H262</f>
        <v/>
      </c>
      <c r="K262" s="11">
        <f>G262*I262</f>
        <v/>
      </c>
      <c r="L262" s="11">
        <f>J262-K262</f>
        <v/>
      </c>
      <c r="M262" s="12">
        <f>(L262/J262)</f>
        <v/>
      </c>
    </row>
    <row r="263">
      <c r="A263" s="10" t="inlineStr">
        <is>
          <t>ORD-2024294</t>
        </is>
      </c>
      <c r="B263" s="10" t="inlineStr">
        <is>
          <t>2024-11-12</t>
        </is>
      </c>
      <c r="C263" s="10" t="inlineStr">
        <is>
          <t>P101</t>
        </is>
      </c>
      <c r="D263" s="10" t="inlineStr">
        <is>
          <t>Laptop Pro 15</t>
        </is>
      </c>
      <c r="E263" s="10" t="inlineStr">
        <is>
          <t>Electronics</t>
        </is>
      </c>
      <c r="F263" s="10" t="inlineStr">
        <is>
          <t>East</t>
        </is>
      </c>
      <c r="G263" s="10" t="n">
        <v>3</v>
      </c>
      <c r="H263" s="11" t="n">
        <v>52250</v>
      </c>
      <c r="I263" s="11" t="n">
        <v>45000</v>
      </c>
      <c r="J263" s="11">
        <f>G263*H263</f>
        <v/>
      </c>
      <c r="K263" s="11">
        <f>G263*I263</f>
        <v/>
      </c>
      <c r="L263" s="11">
        <f>J263-K263</f>
        <v/>
      </c>
      <c r="M263" s="12">
        <f>(L263/J263)</f>
        <v/>
      </c>
    </row>
    <row r="264">
      <c r="A264" s="10" t="inlineStr">
        <is>
          <t>ORD-2024235</t>
        </is>
      </c>
      <c r="B264" s="10" t="inlineStr">
        <is>
          <t>2024-11-13</t>
        </is>
      </c>
      <c r="C264" s="10" t="inlineStr">
        <is>
          <t>P105</t>
        </is>
      </c>
      <c r="D264" s="10" t="inlineStr">
        <is>
          <t>Ergonomic Office Chair</t>
        </is>
      </c>
      <c r="E264" s="10" t="inlineStr">
        <is>
          <t>Furniture</t>
        </is>
      </c>
      <c r="F264" s="10" t="inlineStr">
        <is>
          <t>East</t>
        </is>
      </c>
      <c r="G264" s="10" t="n">
        <v>2</v>
      </c>
      <c r="H264" s="11" t="n">
        <v>9999</v>
      </c>
      <c r="I264" s="11" t="n">
        <v>6800</v>
      </c>
      <c r="J264" s="11">
        <f>G264*H264</f>
        <v/>
      </c>
      <c r="K264" s="11">
        <f>G264*I264</f>
        <v/>
      </c>
      <c r="L264" s="11">
        <f>J264-K264</f>
        <v/>
      </c>
      <c r="M264" s="12">
        <f>(L264/J264)</f>
        <v/>
      </c>
    </row>
    <row r="265">
      <c r="A265" s="10" t="inlineStr">
        <is>
          <t>ORD-2024286</t>
        </is>
      </c>
      <c r="B265" s="10" t="inlineStr">
        <is>
          <t>2024-11-14</t>
        </is>
      </c>
      <c r="C265" s="10" t="inlineStr">
        <is>
          <t>P110</t>
        </is>
      </c>
      <c r="D265" s="10" t="inlineStr">
        <is>
          <t>A4 Copier Paper (500s)</t>
        </is>
      </c>
      <c r="E265" s="10" t="inlineStr">
        <is>
          <t>Office Supplies</t>
        </is>
      </c>
      <c r="F265" s="10" t="inlineStr">
        <is>
          <t>East</t>
        </is>
      </c>
      <c r="G265" s="10" t="n">
        <v>9</v>
      </c>
      <c r="H265" s="11" t="n">
        <v>320</v>
      </c>
      <c r="I265" s="11" t="n">
        <v>190</v>
      </c>
      <c r="J265" s="11">
        <f>G265*H265</f>
        <v/>
      </c>
      <c r="K265" s="11">
        <f>G265*I265</f>
        <v/>
      </c>
      <c r="L265" s="11">
        <f>J265-K265</f>
        <v/>
      </c>
      <c r="M265" s="12">
        <f>(L265/J265)</f>
        <v/>
      </c>
    </row>
    <row r="266">
      <c r="A266" s="10" t="inlineStr">
        <is>
          <t>ORD-2024065</t>
        </is>
      </c>
      <c r="B266" s="10" t="inlineStr">
        <is>
          <t>2024-11-14</t>
        </is>
      </c>
      <c r="C266" s="10" t="inlineStr">
        <is>
          <t>P110</t>
        </is>
      </c>
      <c r="D266" s="10" t="inlineStr">
        <is>
          <t>A4 Copier Paper (500s)</t>
        </is>
      </c>
      <c r="E266" s="10" t="inlineStr">
        <is>
          <t>Office Supplies</t>
        </is>
      </c>
      <c r="F266" s="10" t="inlineStr">
        <is>
          <t>Central</t>
        </is>
      </c>
      <c r="G266" s="10" t="n">
        <v>2</v>
      </c>
      <c r="H266" s="11" t="n">
        <v>313.6</v>
      </c>
      <c r="I266" s="11" t="n">
        <v>190</v>
      </c>
      <c r="J266" s="11">
        <f>G266*H266</f>
        <v/>
      </c>
      <c r="K266" s="11">
        <f>G266*I266</f>
        <v/>
      </c>
      <c r="L266" s="11">
        <f>J266-K266</f>
        <v/>
      </c>
      <c r="M266" s="12">
        <f>(L266/J266)</f>
        <v/>
      </c>
    </row>
    <row r="267">
      <c r="A267" s="10" t="inlineStr">
        <is>
          <t>ORD-2024272</t>
        </is>
      </c>
      <c r="B267" s="10" t="inlineStr">
        <is>
          <t>2024-11-15</t>
        </is>
      </c>
      <c r="C267" s="10" t="inlineStr">
        <is>
          <t>P111</t>
        </is>
      </c>
      <c r="D267" s="10" t="inlineStr">
        <is>
          <t>Desk Organizer Tray</t>
        </is>
      </c>
      <c r="E267" s="10" t="inlineStr">
        <is>
          <t>Office Supplies</t>
        </is>
      </c>
      <c r="F267" s="10" t="inlineStr">
        <is>
          <t>East</t>
        </is>
      </c>
      <c r="G267" s="10" t="n">
        <v>12</v>
      </c>
      <c r="H267" s="11" t="n">
        <v>480</v>
      </c>
      <c r="I267" s="11" t="n">
        <v>260</v>
      </c>
      <c r="J267" s="11">
        <f>G267*H267</f>
        <v/>
      </c>
      <c r="K267" s="11">
        <f>G267*I267</f>
        <v/>
      </c>
      <c r="L267" s="11">
        <f>J267-K267</f>
        <v/>
      </c>
      <c r="M267" s="12">
        <f>(L267/J267)</f>
        <v/>
      </c>
    </row>
    <row r="268">
      <c r="A268" s="10" t="inlineStr">
        <is>
          <t>ORD-2024029</t>
        </is>
      </c>
      <c r="B268" s="10" t="inlineStr">
        <is>
          <t>2024-11-16</t>
        </is>
      </c>
      <c r="C268" s="10" t="inlineStr">
        <is>
          <t>P105</t>
        </is>
      </c>
      <c r="D268" s="10" t="inlineStr">
        <is>
          <t>Ergonomic Office Chair</t>
        </is>
      </c>
      <c r="E268" s="10" t="inlineStr">
        <is>
          <t>Furniture</t>
        </is>
      </c>
      <c r="F268" s="10" t="inlineStr">
        <is>
          <t>West</t>
        </is>
      </c>
      <c r="G268" s="10" t="n">
        <v>2</v>
      </c>
      <c r="H268" s="11" t="n">
        <v>9999</v>
      </c>
      <c r="I268" s="11" t="n">
        <v>6800</v>
      </c>
      <c r="J268" s="11">
        <f>G268*H268</f>
        <v/>
      </c>
      <c r="K268" s="11">
        <f>G268*I268</f>
        <v/>
      </c>
      <c r="L268" s="11">
        <f>J268-K268</f>
        <v/>
      </c>
      <c r="M268" s="12">
        <f>(L268/J268)</f>
        <v/>
      </c>
    </row>
    <row r="269">
      <c r="A269" s="10" t="inlineStr">
        <is>
          <t>ORD-2024236</t>
        </is>
      </c>
      <c r="B269" s="10" t="inlineStr">
        <is>
          <t>2024-11-17</t>
        </is>
      </c>
      <c r="C269" s="10" t="inlineStr">
        <is>
          <t>P111</t>
        </is>
      </c>
      <c r="D269" s="10" t="inlineStr">
        <is>
          <t>Desk Organizer Tray</t>
        </is>
      </c>
      <c r="E269" s="10" t="inlineStr">
        <is>
          <t>Office Supplies</t>
        </is>
      </c>
      <c r="F269" s="10" t="inlineStr">
        <is>
          <t>North</t>
        </is>
      </c>
      <c r="G269" s="10" t="n">
        <v>13</v>
      </c>
      <c r="H269" s="11" t="n">
        <v>456</v>
      </c>
      <c r="I269" s="11" t="n">
        <v>260</v>
      </c>
      <c r="J269" s="11">
        <f>G269*H269</f>
        <v/>
      </c>
      <c r="K269" s="11">
        <f>G269*I269</f>
        <v/>
      </c>
      <c r="L269" s="11">
        <f>J269-K269</f>
        <v/>
      </c>
      <c r="M269" s="12">
        <f>(L269/J269)</f>
        <v/>
      </c>
    </row>
    <row r="270">
      <c r="A270" s="10" t="inlineStr">
        <is>
          <t>ORD-2024074</t>
        </is>
      </c>
      <c r="B270" s="10" t="inlineStr">
        <is>
          <t>2024-11-20</t>
        </is>
      </c>
      <c r="C270" s="10" t="inlineStr">
        <is>
          <t>P107</t>
        </is>
      </c>
      <c r="D270" s="10" t="inlineStr">
        <is>
          <t>Bookshelf Cabinet</t>
        </is>
      </c>
      <c r="E270" s="10" t="inlineStr">
        <is>
          <t>Furniture</t>
        </is>
      </c>
      <c r="F270" s="10" t="inlineStr">
        <is>
          <t>West</t>
        </is>
      </c>
      <c r="G270" s="10" t="n">
        <v>1</v>
      </c>
      <c r="H270" s="11" t="n">
        <v>5950</v>
      </c>
      <c r="I270" s="11" t="n">
        <v>4100</v>
      </c>
      <c r="J270" s="11">
        <f>G270*H270</f>
        <v/>
      </c>
      <c r="K270" s="11">
        <f>G270*I270</f>
        <v/>
      </c>
      <c r="L270" s="11">
        <f>J270-K270</f>
        <v/>
      </c>
      <c r="M270" s="12">
        <f>(L270/J270)</f>
        <v/>
      </c>
    </row>
    <row r="271">
      <c r="A271" s="10" t="inlineStr">
        <is>
          <t>ORD-2024001</t>
        </is>
      </c>
      <c r="B271" s="10" t="inlineStr">
        <is>
          <t>2024-11-23</t>
        </is>
      </c>
      <c r="C271" s="10" t="inlineStr">
        <is>
          <t>P102</t>
        </is>
      </c>
      <c r="D271" s="10" t="inlineStr">
        <is>
          <t>Wireless Mouse</t>
        </is>
      </c>
      <c r="E271" s="10" t="inlineStr">
        <is>
          <t>Electronics</t>
        </is>
      </c>
      <c r="F271" s="10" t="inlineStr">
        <is>
          <t>North</t>
        </is>
      </c>
      <c r="G271" s="10" t="n">
        <v>5</v>
      </c>
      <c r="H271" s="11" t="n">
        <v>750</v>
      </c>
      <c r="I271" s="11" t="n">
        <v>420</v>
      </c>
      <c r="J271" s="11">
        <f>G271*H271</f>
        <v/>
      </c>
      <c r="K271" s="11">
        <f>G271*I271</f>
        <v/>
      </c>
      <c r="L271" s="11">
        <f>J271-K271</f>
        <v/>
      </c>
      <c r="M271" s="12">
        <f>(L271/J271)</f>
        <v/>
      </c>
    </row>
    <row r="272">
      <c r="A272" s="10" t="inlineStr">
        <is>
          <t>ORD-2024188</t>
        </is>
      </c>
      <c r="B272" s="10" t="inlineStr">
        <is>
          <t>2024-11-29</t>
        </is>
      </c>
      <c r="C272" s="10" t="inlineStr">
        <is>
          <t>P108</t>
        </is>
      </c>
      <c r="D272" s="10" t="inlineStr">
        <is>
          <t>Executive Desk Lamp</t>
        </is>
      </c>
      <c r="E272" s="10" t="inlineStr">
        <is>
          <t>Furniture</t>
        </is>
      </c>
      <c r="F272" s="10" t="inlineStr">
        <is>
          <t>Central</t>
        </is>
      </c>
      <c r="G272" s="10" t="n">
        <v>3</v>
      </c>
      <c r="H272" s="11" t="n">
        <v>1469.02</v>
      </c>
      <c r="I272" s="11" t="n">
        <v>850</v>
      </c>
      <c r="J272" s="11">
        <f>G272*H272</f>
        <v/>
      </c>
      <c r="K272" s="11">
        <f>G272*I272</f>
        <v/>
      </c>
      <c r="L272" s="11">
        <f>J272-K272</f>
        <v/>
      </c>
      <c r="M272" s="12">
        <f>(L272/J272)</f>
        <v/>
      </c>
    </row>
    <row r="273">
      <c r="A273" s="10" t="inlineStr">
        <is>
          <t>ORD-2024019</t>
        </is>
      </c>
      <c r="B273" s="10" t="inlineStr">
        <is>
          <t>2024-12-01</t>
        </is>
      </c>
      <c r="C273" s="10" t="inlineStr">
        <is>
          <t>P108</t>
        </is>
      </c>
      <c r="D273" s="10" t="inlineStr">
        <is>
          <t>Executive Desk Lamp</t>
        </is>
      </c>
      <c r="E273" s="10" t="inlineStr">
        <is>
          <t>Furniture</t>
        </is>
      </c>
      <c r="F273" s="10" t="inlineStr">
        <is>
          <t>South</t>
        </is>
      </c>
      <c r="G273" s="10" t="n">
        <v>8</v>
      </c>
      <c r="H273" s="11" t="n">
        <v>1499</v>
      </c>
      <c r="I273" s="11" t="n">
        <v>850</v>
      </c>
      <c r="J273" s="11">
        <f>G273*H273</f>
        <v/>
      </c>
      <c r="K273" s="11">
        <f>G273*I273</f>
        <v/>
      </c>
      <c r="L273" s="11">
        <f>J273-K273</f>
        <v/>
      </c>
      <c r="M273" s="12">
        <f>(L273/J273)</f>
        <v/>
      </c>
    </row>
    <row r="274">
      <c r="A274" s="10" t="inlineStr">
        <is>
          <t>ORD-2024290</t>
        </is>
      </c>
      <c r="B274" s="10" t="inlineStr">
        <is>
          <t>2024-12-02</t>
        </is>
      </c>
      <c r="C274" s="10" t="inlineStr">
        <is>
          <t>P107</t>
        </is>
      </c>
      <c r="D274" s="10" t="inlineStr">
        <is>
          <t>Bookshelf Cabinet</t>
        </is>
      </c>
      <c r="E274" s="10" t="inlineStr">
        <is>
          <t>Furniture</t>
        </is>
      </c>
      <c r="F274" s="10" t="inlineStr">
        <is>
          <t>North</t>
        </is>
      </c>
      <c r="G274" s="10" t="n">
        <v>1</v>
      </c>
      <c r="H274" s="11" t="n">
        <v>5950</v>
      </c>
      <c r="I274" s="11" t="n">
        <v>4100</v>
      </c>
      <c r="J274" s="11">
        <f>G274*H274</f>
        <v/>
      </c>
      <c r="K274" s="11">
        <f>G274*I274</f>
        <v/>
      </c>
      <c r="L274" s="11">
        <f>J274-K274</f>
        <v/>
      </c>
      <c r="M274" s="12">
        <f>(L274/J274)</f>
        <v/>
      </c>
    </row>
    <row r="275">
      <c r="A275" s="10" t="inlineStr">
        <is>
          <t>ORD-2024268</t>
        </is>
      </c>
      <c r="B275" s="10" t="inlineStr">
        <is>
          <t>2024-12-03</t>
        </is>
      </c>
      <c r="C275" s="10" t="inlineStr">
        <is>
          <t>P109</t>
        </is>
      </c>
      <c r="D275" s="10" t="inlineStr">
        <is>
          <t>Gel Pen Pack (10x)</t>
        </is>
      </c>
      <c r="E275" s="10" t="inlineStr">
        <is>
          <t>Office Supplies</t>
        </is>
      </c>
      <c r="F275" s="10" t="inlineStr">
        <is>
          <t>South</t>
        </is>
      </c>
      <c r="G275" s="10" t="n">
        <v>11</v>
      </c>
      <c r="H275" s="11" t="n">
        <v>240</v>
      </c>
      <c r="I275" s="11" t="n">
        <v>110</v>
      </c>
      <c r="J275" s="11">
        <f>G275*H275</f>
        <v/>
      </c>
      <c r="K275" s="11">
        <f>G275*I275</f>
        <v/>
      </c>
      <c r="L275" s="11">
        <f>J275-K275</f>
        <v/>
      </c>
      <c r="M275" s="12">
        <f>(L275/J275)</f>
        <v/>
      </c>
    </row>
    <row r="276">
      <c r="A276" s="10" t="inlineStr">
        <is>
          <t>ORD-2024104</t>
        </is>
      </c>
      <c r="B276" s="10" t="inlineStr">
        <is>
          <t>2024-12-03</t>
        </is>
      </c>
      <c r="C276" s="10" t="inlineStr">
        <is>
          <t>P102</t>
        </is>
      </c>
      <c r="D276" s="10" t="inlineStr">
        <is>
          <t>Wireless Mouse</t>
        </is>
      </c>
      <c r="E276" s="10" t="inlineStr">
        <is>
          <t>Electronics</t>
        </is>
      </c>
      <c r="F276" s="10" t="inlineStr">
        <is>
          <t>South</t>
        </is>
      </c>
      <c r="G276" s="10" t="n">
        <v>6</v>
      </c>
      <c r="H276" s="11" t="n">
        <v>750</v>
      </c>
      <c r="I276" s="11" t="n">
        <v>420</v>
      </c>
      <c r="J276" s="11">
        <f>G276*H276</f>
        <v/>
      </c>
      <c r="K276" s="11">
        <f>G276*I276</f>
        <v/>
      </c>
      <c r="L276" s="11">
        <f>J276-K276</f>
        <v/>
      </c>
      <c r="M276" s="12">
        <f>(L276/J276)</f>
        <v/>
      </c>
    </row>
    <row r="277">
      <c r="A277" s="10" t="inlineStr">
        <is>
          <t>ORD-2024035</t>
        </is>
      </c>
      <c r="B277" s="10" t="inlineStr">
        <is>
          <t>2024-12-03</t>
        </is>
      </c>
      <c r="C277" s="10" t="inlineStr">
        <is>
          <t>P108</t>
        </is>
      </c>
      <c r="D277" s="10" t="inlineStr">
        <is>
          <t>Executive Desk Lamp</t>
        </is>
      </c>
      <c r="E277" s="10" t="inlineStr">
        <is>
          <t>Furniture</t>
        </is>
      </c>
      <c r="F277" s="10" t="inlineStr">
        <is>
          <t>Central</t>
        </is>
      </c>
      <c r="G277" s="10" t="n">
        <v>3</v>
      </c>
      <c r="H277" s="11" t="n">
        <v>1499</v>
      </c>
      <c r="I277" s="11" t="n">
        <v>850</v>
      </c>
      <c r="J277" s="11">
        <f>G277*H277</f>
        <v/>
      </c>
      <c r="K277" s="11">
        <f>G277*I277</f>
        <v/>
      </c>
      <c r="L277" s="11">
        <f>J277-K277</f>
        <v/>
      </c>
      <c r="M277" s="12">
        <f>(L277/J277)</f>
        <v/>
      </c>
    </row>
    <row r="278">
      <c r="A278" s="10" t="inlineStr">
        <is>
          <t>ORD-2024175</t>
        </is>
      </c>
      <c r="B278" s="10" t="inlineStr">
        <is>
          <t>2024-12-04</t>
        </is>
      </c>
      <c r="C278" s="10" t="inlineStr">
        <is>
          <t>P102</t>
        </is>
      </c>
      <c r="D278" s="10" t="inlineStr">
        <is>
          <t>Wireless Mouse</t>
        </is>
      </c>
      <c r="E278" s="10" t="inlineStr">
        <is>
          <t>Electronics</t>
        </is>
      </c>
      <c r="F278" s="10" t="inlineStr">
        <is>
          <t>North</t>
        </is>
      </c>
      <c r="G278" s="10" t="n">
        <v>3</v>
      </c>
      <c r="H278" s="11" t="n">
        <v>735</v>
      </c>
      <c r="I278" s="11" t="n">
        <v>420</v>
      </c>
      <c r="J278" s="11">
        <f>G278*H278</f>
        <v/>
      </c>
      <c r="K278" s="11">
        <f>G278*I278</f>
        <v/>
      </c>
      <c r="L278" s="11">
        <f>J278-K278</f>
        <v/>
      </c>
      <c r="M278" s="12">
        <f>(L278/J278)</f>
        <v/>
      </c>
    </row>
    <row r="279">
      <c r="A279" s="10" t="inlineStr">
        <is>
          <t>ORD-2024295</t>
        </is>
      </c>
      <c r="B279" s="10" t="inlineStr">
        <is>
          <t>2024-12-04</t>
        </is>
      </c>
      <c r="C279" s="10" t="inlineStr">
        <is>
          <t>P107</t>
        </is>
      </c>
      <c r="D279" s="10" t="inlineStr">
        <is>
          <t>Bookshelf Cabinet</t>
        </is>
      </c>
      <c r="E279" s="10" t="inlineStr">
        <is>
          <t>Furniture</t>
        </is>
      </c>
      <c r="F279" s="10" t="inlineStr">
        <is>
          <t>South</t>
        </is>
      </c>
      <c r="G279" s="10" t="n">
        <v>4</v>
      </c>
      <c r="H279" s="11" t="n">
        <v>5652.5</v>
      </c>
      <c r="I279" s="11" t="n">
        <v>4100</v>
      </c>
      <c r="J279" s="11">
        <f>G279*H279</f>
        <v/>
      </c>
      <c r="K279" s="11">
        <f>G279*I279</f>
        <v/>
      </c>
      <c r="L279" s="11">
        <f>J279-K279</f>
        <v/>
      </c>
      <c r="M279" s="12">
        <f>(L279/J279)</f>
        <v/>
      </c>
    </row>
    <row r="280">
      <c r="A280" s="10" t="inlineStr">
        <is>
          <t>ORD-2024012</t>
        </is>
      </c>
      <c r="B280" s="10" t="inlineStr">
        <is>
          <t>2024-12-04</t>
        </is>
      </c>
      <c r="C280" s="10" t="inlineStr">
        <is>
          <t>P104</t>
        </is>
      </c>
      <c r="D280" s="10" t="inlineStr">
        <is>
          <t>Noise-Cancelling Headphones</t>
        </is>
      </c>
      <c r="E280" s="10" t="inlineStr">
        <is>
          <t>Electronics</t>
        </is>
      </c>
      <c r="F280" s="10" t="inlineStr">
        <is>
          <t>West</t>
        </is>
      </c>
      <c r="G280" s="10" t="n">
        <v>1</v>
      </c>
      <c r="H280" s="11" t="n">
        <v>5999</v>
      </c>
      <c r="I280" s="11" t="n">
        <v>3600</v>
      </c>
      <c r="J280" s="11">
        <f>G280*H280</f>
        <v/>
      </c>
      <c r="K280" s="11">
        <f>G280*I280</f>
        <v/>
      </c>
      <c r="L280" s="11">
        <f>J280-K280</f>
        <v/>
      </c>
      <c r="M280" s="12">
        <f>(L280/J280)</f>
        <v/>
      </c>
    </row>
    <row r="281">
      <c r="A281" s="10" t="inlineStr">
        <is>
          <t>ORD-2024211</t>
        </is>
      </c>
      <c r="B281" s="10" t="inlineStr">
        <is>
          <t>2024-12-05</t>
        </is>
      </c>
      <c r="C281" s="10" t="inlineStr">
        <is>
          <t>P113</t>
        </is>
      </c>
      <c r="D281" s="10" t="inlineStr">
        <is>
          <t>Laptop Backpack</t>
        </is>
      </c>
      <c r="E281" s="10" t="inlineStr">
        <is>
          <t>Accessories</t>
        </is>
      </c>
      <c r="F281" s="10" t="inlineStr">
        <is>
          <t>West</t>
        </is>
      </c>
      <c r="G281" s="10" t="n">
        <v>3</v>
      </c>
      <c r="H281" s="11" t="n">
        <v>1519.05</v>
      </c>
      <c r="I281" s="11" t="n">
        <v>820</v>
      </c>
      <c r="J281" s="11">
        <f>G281*H281</f>
        <v/>
      </c>
      <c r="K281" s="11">
        <f>G281*I281</f>
        <v/>
      </c>
      <c r="L281" s="11">
        <f>J281-K281</f>
        <v/>
      </c>
      <c r="M281" s="12">
        <f>(L281/J281)</f>
        <v/>
      </c>
    </row>
    <row r="282">
      <c r="A282" s="10" t="inlineStr">
        <is>
          <t>ORD-2024100</t>
        </is>
      </c>
      <c r="B282" s="10" t="inlineStr">
        <is>
          <t>2024-12-06</t>
        </is>
      </c>
      <c r="C282" s="10" t="inlineStr">
        <is>
          <t>P107</t>
        </is>
      </c>
      <c r="D282" s="10" t="inlineStr">
        <is>
          <t>Bookshelf Cabinet</t>
        </is>
      </c>
      <c r="E282" s="10" t="inlineStr">
        <is>
          <t>Furniture</t>
        </is>
      </c>
      <c r="F282" s="10" t="inlineStr">
        <is>
          <t>East</t>
        </is>
      </c>
      <c r="G282" s="10" t="n">
        <v>2</v>
      </c>
      <c r="H282" s="11" t="n">
        <v>5831</v>
      </c>
      <c r="I282" s="11" t="n">
        <v>4100</v>
      </c>
      <c r="J282" s="11">
        <f>G282*H282</f>
        <v/>
      </c>
      <c r="K282" s="11">
        <f>G282*I282</f>
        <v/>
      </c>
      <c r="L282" s="11">
        <f>J282-K282</f>
        <v/>
      </c>
      <c r="M282" s="12">
        <f>(L282/J282)</f>
        <v/>
      </c>
    </row>
    <row r="283">
      <c r="A283" s="10" t="inlineStr">
        <is>
          <t>ORD-2024298</t>
        </is>
      </c>
      <c r="B283" s="10" t="inlineStr">
        <is>
          <t>2024-12-07</t>
        </is>
      </c>
      <c r="C283" s="10" t="inlineStr">
        <is>
          <t>P105</t>
        </is>
      </c>
      <c r="D283" s="10" t="inlineStr">
        <is>
          <t>Ergonomic Office Chair</t>
        </is>
      </c>
      <c r="E283" s="10" t="inlineStr">
        <is>
          <t>Furniture</t>
        </is>
      </c>
      <c r="F283" s="10" t="inlineStr">
        <is>
          <t>North</t>
        </is>
      </c>
      <c r="G283" s="10" t="n">
        <v>4</v>
      </c>
      <c r="H283" s="11" t="n">
        <v>9799.02</v>
      </c>
      <c r="I283" s="11" t="n">
        <v>6800</v>
      </c>
      <c r="J283" s="11">
        <f>G283*H283</f>
        <v/>
      </c>
      <c r="K283" s="11">
        <f>G283*I283</f>
        <v/>
      </c>
      <c r="L283" s="11">
        <f>J283-K283</f>
        <v/>
      </c>
      <c r="M283" s="12">
        <f>(L283/J283)</f>
        <v/>
      </c>
    </row>
    <row r="284">
      <c r="A284" s="10" t="inlineStr">
        <is>
          <t>ORD-2024084</t>
        </is>
      </c>
      <c r="B284" s="10" t="inlineStr">
        <is>
          <t>2024-12-08</t>
        </is>
      </c>
      <c r="C284" s="10" t="inlineStr">
        <is>
          <t>P114</t>
        </is>
      </c>
      <c r="D284" s="10" t="inlineStr">
        <is>
          <t>Webcam 1080p HD</t>
        </is>
      </c>
      <c r="E284" s="10" t="inlineStr">
        <is>
          <t>Accessories</t>
        </is>
      </c>
      <c r="F284" s="10" t="inlineStr">
        <is>
          <t>West</t>
        </is>
      </c>
      <c r="G284" s="10" t="n">
        <v>4</v>
      </c>
      <c r="H284" s="11" t="n">
        <v>2450</v>
      </c>
      <c r="I284" s="11" t="n">
        <v>1450</v>
      </c>
      <c r="J284" s="11">
        <f>G284*H284</f>
        <v/>
      </c>
      <c r="K284" s="11">
        <f>G284*I284</f>
        <v/>
      </c>
      <c r="L284" s="11">
        <f>J284-K284</f>
        <v/>
      </c>
      <c r="M284" s="12">
        <f>(L284/J284)</f>
        <v/>
      </c>
    </row>
    <row r="285">
      <c r="A285" s="10" t="inlineStr">
        <is>
          <t>ORD-2024246</t>
        </is>
      </c>
      <c r="B285" s="10" t="inlineStr">
        <is>
          <t>2024-12-11</t>
        </is>
      </c>
      <c r="C285" s="10" t="inlineStr">
        <is>
          <t>P104</t>
        </is>
      </c>
      <c r="D285" s="10" t="inlineStr">
        <is>
          <t>Noise-Cancelling Headphones</t>
        </is>
      </c>
      <c r="E285" s="10" t="inlineStr">
        <is>
          <t>Electronics</t>
        </is>
      </c>
      <c r="F285" s="10" t="inlineStr">
        <is>
          <t>South</t>
        </is>
      </c>
      <c r="G285" s="10" t="n">
        <v>3</v>
      </c>
      <c r="H285" s="11" t="n">
        <v>5879.02</v>
      </c>
      <c r="I285" s="11" t="n">
        <v>3600</v>
      </c>
      <c r="J285" s="11">
        <f>G285*H285</f>
        <v/>
      </c>
      <c r="K285" s="11">
        <f>G285*I285</f>
        <v/>
      </c>
      <c r="L285" s="11">
        <f>J285-K285</f>
        <v/>
      </c>
      <c r="M285" s="12">
        <f>(L285/J285)</f>
        <v/>
      </c>
    </row>
    <row r="286">
      <c r="A286" s="10" t="inlineStr">
        <is>
          <t>ORD-2024227</t>
        </is>
      </c>
      <c r="B286" s="10" t="inlineStr">
        <is>
          <t>2024-12-12</t>
        </is>
      </c>
      <c r="C286" s="10" t="inlineStr">
        <is>
          <t>P109</t>
        </is>
      </c>
      <c r="D286" s="10" t="inlineStr">
        <is>
          <t>Gel Pen Pack (10x)</t>
        </is>
      </c>
      <c r="E286" s="10" t="inlineStr">
        <is>
          <t>Office Supplies</t>
        </is>
      </c>
      <c r="F286" s="10" t="inlineStr">
        <is>
          <t>North</t>
        </is>
      </c>
      <c r="G286" s="10" t="n">
        <v>8</v>
      </c>
      <c r="H286" s="11" t="n">
        <v>240</v>
      </c>
      <c r="I286" s="11" t="n">
        <v>110</v>
      </c>
      <c r="J286" s="11">
        <f>G286*H286</f>
        <v/>
      </c>
      <c r="K286" s="11">
        <f>G286*I286</f>
        <v/>
      </c>
      <c r="L286" s="11">
        <f>J286-K286</f>
        <v/>
      </c>
      <c r="M286" s="12">
        <f>(L286/J286)</f>
        <v/>
      </c>
    </row>
    <row r="287">
      <c r="A287" s="10" t="inlineStr">
        <is>
          <t>ORD-2024026</t>
        </is>
      </c>
      <c r="B287" s="10" t="inlineStr">
        <is>
          <t>2024-12-15</t>
        </is>
      </c>
      <c r="C287" s="10" t="inlineStr">
        <is>
          <t>P109</t>
        </is>
      </c>
      <c r="D287" s="10" t="inlineStr">
        <is>
          <t>Gel Pen Pack (10x)</t>
        </is>
      </c>
      <c r="E287" s="10" t="inlineStr">
        <is>
          <t>Office Supplies</t>
        </is>
      </c>
      <c r="F287" s="10" t="inlineStr">
        <is>
          <t>West</t>
        </is>
      </c>
      <c r="G287" s="10" t="n">
        <v>13</v>
      </c>
      <c r="H287" s="11" t="n">
        <v>240</v>
      </c>
      <c r="I287" s="11" t="n">
        <v>110</v>
      </c>
      <c r="J287" s="11">
        <f>G287*H287</f>
        <v/>
      </c>
      <c r="K287" s="11">
        <f>G287*I287</f>
        <v/>
      </c>
      <c r="L287" s="11">
        <f>J287-K287</f>
        <v/>
      </c>
      <c r="M287" s="12">
        <f>(L287/J287)</f>
        <v/>
      </c>
    </row>
    <row r="288">
      <c r="A288" s="10" t="inlineStr">
        <is>
          <t>ORD-2024223</t>
        </is>
      </c>
      <c r="B288" s="10" t="inlineStr">
        <is>
          <t>2024-12-15</t>
        </is>
      </c>
      <c r="C288" s="10" t="inlineStr">
        <is>
          <t>P113</t>
        </is>
      </c>
      <c r="D288" s="10" t="inlineStr">
        <is>
          <t>Laptop Backpack</t>
        </is>
      </c>
      <c r="E288" s="10" t="inlineStr">
        <is>
          <t>Accessories</t>
        </is>
      </c>
      <c r="F288" s="10" t="inlineStr">
        <is>
          <t>North</t>
        </is>
      </c>
      <c r="G288" s="10" t="n">
        <v>3</v>
      </c>
      <c r="H288" s="11" t="n">
        <v>1599</v>
      </c>
      <c r="I288" s="11" t="n">
        <v>820</v>
      </c>
      <c r="J288" s="11">
        <f>G288*H288</f>
        <v/>
      </c>
      <c r="K288" s="11">
        <f>G288*I288</f>
        <v/>
      </c>
      <c r="L288" s="11">
        <f>J288-K288</f>
        <v/>
      </c>
      <c r="M288" s="12">
        <f>(L288/J288)</f>
        <v/>
      </c>
    </row>
    <row r="289">
      <c r="A289" s="10" t="inlineStr">
        <is>
          <t>ORD-2024255</t>
        </is>
      </c>
      <c r="B289" s="10" t="inlineStr">
        <is>
          <t>2024-12-17</t>
        </is>
      </c>
      <c r="C289" s="10" t="inlineStr">
        <is>
          <t>P106</t>
        </is>
      </c>
      <c r="D289" s="10" t="inlineStr">
        <is>
          <t>Standing Desk</t>
        </is>
      </c>
      <c r="E289" s="10" t="inlineStr">
        <is>
          <t>Furniture</t>
        </is>
      </c>
      <c r="F289" s="10" t="inlineStr">
        <is>
          <t>East</t>
        </is>
      </c>
      <c r="G289" s="10" t="n">
        <v>3</v>
      </c>
      <c r="H289" s="11" t="n">
        <v>18500</v>
      </c>
      <c r="I289" s="11" t="n">
        <v>12500</v>
      </c>
      <c r="J289" s="11">
        <f>G289*H289</f>
        <v/>
      </c>
      <c r="K289" s="11">
        <f>G289*I289</f>
        <v/>
      </c>
      <c r="L289" s="11">
        <f>J289-K289</f>
        <v/>
      </c>
      <c r="M289" s="12">
        <f>(L289/J289)</f>
        <v/>
      </c>
    </row>
    <row r="290">
      <c r="A290" s="10" t="inlineStr">
        <is>
          <t>ORD-2024037</t>
        </is>
      </c>
      <c r="B290" s="10" t="inlineStr">
        <is>
          <t>2024-12-19</t>
        </is>
      </c>
      <c r="C290" s="10" t="inlineStr">
        <is>
          <t>P104</t>
        </is>
      </c>
      <c r="D290" s="10" t="inlineStr">
        <is>
          <t>Noise-Cancelling Headphones</t>
        </is>
      </c>
      <c r="E290" s="10" t="inlineStr">
        <is>
          <t>Electronics</t>
        </is>
      </c>
      <c r="F290" s="10" t="inlineStr">
        <is>
          <t>West</t>
        </is>
      </c>
      <c r="G290" s="10" t="n">
        <v>4</v>
      </c>
      <c r="H290" s="11" t="n">
        <v>5999</v>
      </c>
      <c r="I290" s="11" t="n">
        <v>3600</v>
      </c>
      <c r="J290" s="11">
        <f>G290*H290</f>
        <v/>
      </c>
      <c r="K290" s="11">
        <f>G290*I290</f>
        <v/>
      </c>
      <c r="L290" s="11">
        <f>J290-K290</f>
        <v/>
      </c>
      <c r="M290" s="12">
        <f>(L290/J290)</f>
        <v/>
      </c>
    </row>
    <row r="291">
      <c r="A291" s="10" t="inlineStr">
        <is>
          <t>ORD-2024216</t>
        </is>
      </c>
      <c r="B291" s="10" t="inlineStr">
        <is>
          <t>2024-12-20</t>
        </is>
      </c>
      <c r="C291" s="10" t="inlineStr">
        <is>
          <t>P107</t>
        </is>
      </c>
      <c r="D291" s="10" t="inlineStr">
        <is>
          <t>Bookshelf Cabinet</t>
        </is>
      </c>
      <c r="E291" s="10" t="inlineStr">
        <is>
          <t>Furniture</t>
        </is>
      </c>
      <c r="F291" s="10" t="inlineStr">
        <is>
          <t>East</t>
        </is>
      </c>
      <c r="G291" s="10" t="n">
        <v>3</v>
      </c>
      <c r="H291" s="11" t="n">
        <v>5831</v>
      </c>
      <c r="I291" s="11" t="n">
        <v>4100</v>
      </c>
      <c r="J291" s="11">
        <f>G291*H291</f>
        <v/>
      </c>
      <c r="K291" s="11">
        <f>G291*I291</f>
        <v/>
      </c>
      <c r="L291" s="11">
        <f>J291-K291</f>
        <v/>
      </c>
      <c r="M291" s="12">
        <f>(L291/J291)</f>
        <v/>
      </c>
    </row>
    <row r="292">
      <c r="A292" s="10" t="inlineStr">
        <is>
          <t>ORD-2024140</t>
        </is>
      </c>
      <c r="B292" s="10" t="inlineStr">
        <is>
          <t>2024-12-22</t>
        </is>
      </c>
      <c r="C292" s="10" t="inlineStr">
        <is>
          <t>P113</t>
        </is>
      </c>
      <c r="D292" s="10" t="inlineStr">
        <is>
          <t>Laptop Backpack</t>
        </is>
      </c>
      <c r="E292" s="10" t="inlineStr">
        <is>
          <t>Accessories</t>
        </is>
      </c>
      <c r="F292" s="10" t="inlineStr">
        <is>
          <t>South</t>
        </is>
      </c>
      <c r="G292" s="10" t="n">
        <v>11</v>
      </c>
      <c r="H292" s="11" t="n">
        <v>1567.02</v>
      </c>
      <c r="I292" s="11" t="n">
        <v>820</v>
      </c>
      <c r="J292" s="11">
        <f>G292*H292</f>
        <v/>
      </c>
      <c r="K292" s="11">
        <f>G292*I292</f>
        <v/>
      </c>
      <c r="L292" s="11">
        <f>J292-K292</f>
        <v/>
      </c>
      <c r="M292" s="12">
        <f>(L292/J292)</f>
        <v/>
      </c>
    </row>
    <row r="293">
      <c r="A293" s="10" t="inlineStr">
        <is>
          <t>ORD-2024054</t>
        </is>
      </c>
      <c r="B293" s="10" t="inlineStr">
        <is>
          <t>2024-12-22</t>
        </is>
      </c>
      <c r="C293" s="10" t="inlineStr">
        <is>
          <t>P112</t>
        </is>
      </c>
      <c r="D293" s="10" t="inlineStr">
        <is>
          <t>USB-C Multiport Hub</t>
        </is>
      </c>
      <c r="E293" s="10" t="inlineStr">
        <is>
          <t>Accessories</t>
        </is>
      </c>
      <c r="F293" s="10" t="inlineStr">
        <is>
          <t>Central</t>
        </is>
      </c>
      <c r="G293" s="10" t="n">
        <v>9</v>
      </c>
      <c r="H293" s="11" t="n">
        <v>1899.05</v>
      </c>
      <c r="I293" s="11" t="n">
        <v>1150</v>
      </c>
      <c r="J293" s="11">
        <f>G293*H293</f>
        <v/>
      </c>
      <c r="K293" s="11">
        <f>G293*I293</f>
        <v/>
      </c>
      <c r="L293" s="11">
        <f>J293-K293</f>
        <v/>
      </c>
      <c r="M293" s="12">
        <f>(L293/J293)</f>
        <v/>
      </c>
    </row>
    <row r="294">
      <c r="A294" s="10" t="inlineStr">
        <is>
          <t>ORD-2024121</t>
        </is>
      </c>
      <c r="B294" s="10" t="inlineStr">
        <is>
          <t>2024-12-22</t>
        </is>
      </c>
      <c r="C294" s="10" t="inlineStr">
        <is>
          <t>P101</t>
        </is>
      </c>
      <c r="D294" s="10" t="inlineStr">
        <is>
          <t>Laptop Pro 15</t>
        </is>
      </c>
      <c r="E294" s="10" t="inlineStr">
        <is>
          <t>Electronics</t>
        </is>
      </c>
      <c r="F294" s="10" t="inlineStr">
        <is>
          <t>West</t>
        </is>
      </c>
      <c r="G294" s="10" t="n">
        <v>4</v>
      </c>
      <c r="H294" s="11" t="n">
        <v>52250</v>
      </c>
      <c r="I294" s="11" t="n">
        <v>45000</v>
      </c>
      <c r="J294" s="11">
        <f>G294*H294</f>
        <v/>
      </c>
      <c r="K294" s="11">
        <f>G294*I294</f>
        <v/>
      </c>
      <c r="L294" s="11">
        <f>J294-K294</f>
        <v/>
      </c>
      <c r="M294" s="12">
        <f>(L294/J294)</f>
        <v/>
      </c>
    </row>
    <row r="295">
      <c r="A295" s="10" t="inlineStr">
        <is>
          <t>ORD-2024099</t>
        </is>
      </c>
      <c r="B295" s="10" t="inlineStr">
        <is>
          <t>2024-12-22</t>
        </is>
      </c>
      <c r="C295" s="10" t="inlineStr">
        <is>
          <t>P105</t>
        </is>
      </c>
      <c r="D295" s="10" t="inlineStr">
        <is>
          <t>Ergonomic Office Chair</t>
        </is>
      </c>
      <c r="E295" s="10" t="inlineStr">
        <is>
          <t>Furniture</t>
        </is>
      </c>
      <c r="F295" s="10" t="inlineStr">
        <is>
          <t>East</t>
        </is>
      </c>
      <c r="G295" s="10" t="n">
        <v>2</v>
      </c>
      <c r="H295" s="11" t="n">
        <v>9499.049999999999</v>
      </c>
      <c r="I295" s="11" t="n">
        <v>6800</v>
      </c>
      <c r="J295" s="11">
        <f>G295*H295</f>
        <v/>
      </c>
      <c r="K295" s="11">
        <f>G295*I295</f>
        <v/>
      </c>
      <c r="L295" s="11">
        <f>J295-K295</f>
        <v/>
      </c>
      <c r="M295" s="12">
        <f>(L295/J295)</f>
        <v/>
      </c>
    </row>
    <row r="296">
      <c r="A296" s="10" t="inlineStr">
        <is>
          <t>ORD-2024209</t>
        </is>
      </c>
      <c r="B296" s="10" t="inlineStr">
        <is>
          <t>2024-12-23</t>
        </is>
      </c>
      <c r="C296" s="10" t="inlineStr">
        <is>
          <t>P104</t>
        </is>
      </c>
      <c r="D296" s="10" t="inlineStr">
        <is>
          <t>Noise-Cancelling Headphones</t>
        </is>
      </c>
      <c r="E296" s="10" t="inlineStr">
        <is>
          <t>Electronics</t>
        </is>
      </c>
      <c r="F296" s="10" t="inlineStr">
        <is>
          <t>East</t>
        </is>
      </c>
      <c r="G296" s="10" t="n">
        <v>2</v>
      </c>
      <c r="H296" s="11" t="n">
        <v>5699.05</v>
      </c>
      <c r="I296" s="11" t="n">
        <v>3600</v>
      </c>
      <c r="J296" s="11">
        <f>G296*H296</f>
        <v/>
      </c>
      <c r="K296" s="11">
        <f>G296*I296</f>
        <v/>
      </c>
      <c r="L296" s="11">
        <f>J296-K296</f>
        <v/>
      </c>
      <c r="M296" s="12">
        <f>(L296/J296)</f>
        <v/>
      </c>
    </row>
    <row r="297">
      <c r="A297" s="10" t="inlineStr">
        <is>
          <t>ORD-2024248</t>
        </is>
      </c>
      <c r="B297" s="10" t="inlineStr">
        <is>
          <t>2024-12-24</t>
        </is>
      </c>
      <c r="C297" s="10" t="inlineStr">
        <is>
          <t>P105</t>
        </is>
      </c>
      <c r="D297" s="10" t="inlineStr">
        <is>
          <t>Ergonomic Office Chair</t>
        </is>
      </c>
      <c r="E297" s="10" t="inlineStr">
        <is>
          <t>Furniture</t>
        </is>
      </c>
      <c r="F297" s="10" t="inlineStr">
        <is>
          <t>East</t>
        </is>
      </c>
      <c r="G297" s="10" t="n">
        <v>1</v>
      </c>
      <c r="H297" s="11" t="n">
        <v>9999</v>
      </c>
      <c r="I297" s="11" t="n">
        <v>6800</v>
      </c>
      <c r="J297" s="11">
        <f>G297*H297</f>
        <v/>
      </c>
      <c r="K297" s="11">
        <f>G297*I297</f>
        <v/>
      </c>
      <c r="L297" s="11">
        <f>J297-K297</f>
        <v/>
      </c>
      <c r="M297" s="12">
        <f>(L297/J297)</f>
        <v/>
      </c>
    </row>
    <row r="298">
      <c r="A298" s="10" t="inlineStr">
        <is>
          <t>ORD-2024183</t>
        </is>
      </c>
      <c r="B298" s="10" t="inlineStr">
        <is>
          <t>2024-12-24</t>
        </is>
      </c>
      <c r="C298" s="10" t="inlineStr">
        <is>
          <t>P107</t>
        </is>
      </c>
      <c r="D298" s="10" t="inlineStr">
        <is>
          <t>Bookshelf Cabinet</t>
        </is>
      </c>
      <c r="E298" s="10" t="inlineStr">
        <is>
          <t>Furniture</t>
        </is>
      </c>
      <c r="F298" s="10" t="inlineStr">
        <is>
          <t>Central</t>
        </is>
      </c>
      <c r="G298" s="10" t="n">
        <v>4</v>
      </c>
      <c r="H298" s="11" t="n">
        <v>5652.5</v>
      </c>
      <c r="I298" s="11" t="n">
        <v>4100</v>
      </c>
      <c r="J298" s="11">
        <f>G298*H298</f>
        <v/>
      </c>
      <c r="K298" s="11">
        <f>G298*I298</f>
        <v/>
      </c>
      <c r="L298" s="11">
        <f>J298-K298</f>
        <v/>
      </c>
      <c r="M298" s="12">
        <f>(L298/J298)</f>
        <v/>
      </c>
    </row>
    <row r="299">
      <c r="A299" s="10" t="inlineStr">
        <is>
          <t>ORD-2024178</t>
        </is>
      </c>
      <c r="B299" s="10" t="inlineStr">
        <is>
          <t>2024-12-25</t>
        </is>
      </c>
      <c r="C299" s="10" t="inlineStr">
        <is>
          <t>P114</t>
        </is>
      </c>
      <c r="D299" s="10" t="inlineStr">
        <is>
          <t>Webcam 1080p HD</t>
        </is>
      </c>
      <c r="E299" s="10" t="inlineStr">
        <is>
          <t>Accessories</t>
        </is>
      </c>
      <c r="F299" s="10" t="inlineStr">
        <is>
          <t>South</t>
        </is>
      </c>
      <c r="G299" s="10" t="n">
        <v>11</v>
      </c>
      <c r="H299" s="11" t="n">
        <v>2450</v>
      </c>
      <c r="I299" s="11" t="n">
        <v>1450</v>
      </c>
      <c r="J299" s="11">
        <f>G299*H299</f>
        <v/>
      </c>
      <c r="K299" s="11">
        <f>G299*I299</f>
        <v/>
      </c>
      <c r="L299" s="11">
        <f>J299-K299</f>
        <v/>
      </c>
      <c r="M299" s="12">
        <f>(L299/J299)</f>
        <v/>
      </c>
    </row>
    <row r="300">
      <c r="A300" s="10" t="inlineStr">
        <is>
          <t>ORD-2024145</t>
        </is>
      </c>
      <c r="B300" s="10" t="inlineStr">
        <is>
          <t>2024-12-28</t>
        </is>
      </c>
      <c r="C300" s="10" t="inlineStr">
        <is>
          <t>P103</t>
        </is>
      </c>
      <c r="D300" s="10" t="inlineStr">
        <is>
          <t>Mechanical Keyboard</t>
        </is>
      </c>
      <c r="E300" s="10" t="inlineStr">
        <is>
          <t>Electronics</t>
        </is>
      </c>
      <c r="F300" s="10" t="inlineStr">
        <is>
          <t>South</t>
        </is>
      </c>
      <c r="G300" s="10" t="n">
        <v>3</v>
      </c>
      <c r="H300" s="11" t="n">
        <v>2744</v>
      </c>
      <c r="I300" s="11" t="n">
        <v>1850</v>
      </c>
      <c r="J300" s="11">
        <f>G300*H300</f>
        <v/>
      </c>
      <c r="K300" s="11">
        <f>G300*I300</f>
        <v/>
      </c>
      <c r="L300" s="11">
        <f>J300-K300</f>
        <v/>
      </c>
      <c r="M300" s="12">
        <f>(L300/J300)</f>
        <v/>
      </c>
    </row>
    <row r="301">
      <c r="A301" s="10" t="inlineStr">
        <is>
          <t>ORD-2024163</t>
        </is>
      </c>
      <c r="B301" s="10" t="inlineStr">
        <is>
          <t>2024-12-28</t>
        </is>
      </c>
      <c r="C301" s="10" t="inlineStr">
        <is>
          <t>P109</t>
        </is>
      </c>
      <c r="D301" s="10" t="inlineStr">
        <is>
          <t>Gel Pen Pack (10x)</t>
        </is>
      </c>
      <c r="E301" s="10" t="inlineStr">
        <is>
          <t>Office Supplies</t>
        </is>
      </c>
      <c r="F301" s="10" t="inlineStr">
        <is>
          <t>North</t>
        </is>
      </c>
      <c r="G301" s="10" t="n">
        <v>1</v>
      </c>
      <c r="H301" s="11" t="n">
        <v>240</v>
      </c>
      <c r="I301" s="11" t="n">
        <v>110</v>
      </c>
      <c r="J301" s="11">
        <f>G301*H301</f>
        <v/>
      </c>
      <c r="K301" s="11">
        <f>G301*I301</f>
        <v/>
      </c>
      <c r="L301" s="11">
        <f>J301-K301</f>
        <v/>
      </c>
      <c r="M301" s="12">
        <f>(L301/J301)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3" customWidth="1" min="4" max="4"/>
    <col width="16" customWidth="1" min="5" max="5"/>
    <col width="13" customWidth="1" min="6" max="6"/>
    <col width="13" customWidth="1" min="7" max="7"/>
    <col width="13" customWidth="1" min="8" max="8"/>
    <col width="22" customWidth="1" min="9" max="9"/>
  </cols>
  <sheetData>
    <row r="1">
      <c r="A1" s="17" t="inlineStr">
        <is>
          <t>Product ID</t>
        </is>
      </c>
      <c r="B1" s="17" t="inlineStr">
        <is>
          <t>Product Name</t>
        </is>
      </c>
      <c r="C1" s="17" t="inlineStr">
        <is>
          <t>Category</t>
        </is>
      </c>
      <c r="D1" s="17" t="inlineStr">
        <is>
          <t>Orders</t>
        </is>
      </c>
      <c r="E1" s="17" t="inlineStr">
        <is>
          <t>Quantity Sold</t>
        </is>
      </c>
      <c r="F1" s="17" t="inlineStr">
        <is>
          <t>Revenue</t>
        </is>
      </c>
      <c r="G1" s="17" t="inlineStr">
        <is>
          <t>Total Cost</t>
        </is>
      </c>
      <c r="H1" s="17" t="inlineStr">
        <is>
          <t>Profit</t>
        </is>
      </c>
      <c r="I1" s="17" t="inlineStr">
        <is>
          <t>Profit Margin</t>
        </is>
      </c>
    </row>
    <row r="2">
      <c r="A2" s="10" t="inlineStr">
        <is>
          <t>P101</t>
        </is>
      </c>
      <c r="B2" s="10" t="inlineStr">
        <is>
          <t>Laptop Pro 15</t>
        </is>
      </c>
      <c r="C2" s="10" t="inlineStr">
        <is>
          <t>Electronics</t>
        </is>
      </c>
      <c r="D2" s="10" t="n">
        <v>20</v>
      </c>
      <c r="E2" s="10" t="n">
        <v>45</v>
      </c>
      <c r="F2" s="11" t="n">
        <v>2430450</v>
      </c>
      <c r="G2" s="11" t="n">
        <v>2025000</v>
      </c>
      <c r="H2" s="11" t="n">
        <v>405450</v>
      </c>
      <c r="I2" s="12" t="n">
        <v>0.1668</v>
      </c>
    </row>
    <row r="3">
      <c r="A3" s="10" t="inlineStr">
        <is>
          <t>P106</t>
        </is>
      </c>
      <c r="B3" s="10" t="inlineStr">
        <is>
          <t>Standing Desk</t>
        </is>
      </c>
      <c r="C3" s="10" t="inlineStr">
        <is>
          <t>Furniture</t>
        </is>
      </c>
      <c r="D3" s="10" t="n">
        <v>18</v>
      </c>
      <c r="E3" s="10" t="n">
        <v>58</v>
      </c>
      <c r="F3" s="11" t="n">
        <v>1059310</v>
      </c>
      <c r="G3" s="11" t="n">
        <v>725000</v>
      </c>
      <c r="H3" s="11" t="n">
        <v>334310</v>
      </c>
      <c r="I3" s="12" t="n">
        <v>0.3156</v>
      </c>
    </row>
    <row r="4">
      <c r="A4" s="10" t="inlineStr">
        <is>
          <t>P105</t>
        </is>
      </c>
      <c r="B4" s="10" t="inlineStr">
        <is>
          <t>Ergonomic Office Chair</t>
        </is>
      </c>
      <c r="C4" s="10" t="inlineStr">
        <is>
          <t>Furniture</t>
        </is>
      </c>
      <c r="D4" s="10" t="n">
        <v>32</v>
      </c>
      <c r="E4" s="10" t="n">
        <v>76</v>
      </c>
      <c r="F4" s="11" t="n">
        <v>751424.85</v>
      </c>
      <c r="G4" s="11" t="n">
        <v>516800</v>
      </c>
      <c r="H4" s="11" t="n">
        <v>234624.85</v>
      </c>
      <c r="I4" s="12" t="n">
        <v>0.3122</v>
      </c>
    </row>
    <row r="5">
      <c r="A5" s="10" t="inlineStr">
        <is>
          <t>P104</t>
        </is>
      </c>
      <c r="B5" s="10" t="inlineStr">
        <is>
          <t>Noise-Cancelling Headphones</t>
        </is>
      </c>
      <c r="C5" s="10" t="inlineStr">
        <is>
          <t>Electronics</t>
        </is>
      </c>
      <c r="D5" s="10" t="n">
        <v>33</v>
      </c>
      <c r="E5" s="10" t="n">
        <v>87</v>
      </c>
      <c r="F5" s="11" t="n">
        <v>512134.63</v>
      </c>
      <c r="G5" s="11" t="n">
        <v>313200</v>
      </c>
      <c r="H5" s="11" t="n">
        <v>198934.63</v>
      </c>
      <c r="I5" s="12" t="n">
        <v>0.3884</v>
      </c>
    </row>
    <row r="6">
      <c r="A6" s="10" t="inlineStr">
        <is>
          <t>P113</t>
        </is>
      </c>
      <c r="B6" s="10" t="inlineStr">
        <is>
          <t>Laptop Backpack</t>
        </is>
      </c>
      <c r="C6" s="10" t="inlineStr">
        <is>
          <t>Accessories</t>
        </is>
      </c>
      <c r="D6" s="10" t="n">
        <v>27</v>
      </c>
      <c r="E6" s="10" t="n">
        <v>197</v>
      </c>
      <c r="F6" s="11" t="n">
        <v>310797.63</v>
      </c>
      <c r="G6" s="11" t="n">
        <v>161540</v>
      </c>
      <c r="H6" s="11" t="n">
        <v>149257.63</v>
      </c>
      <c r="I6" s="12" t="n">
        <v>0.4802</v>
      </c>
    </row>
    <row r="7">
      <c r="A7" s="10" t="inlineStr">
        <is>
          <t>P112</t>
        </is>
      </c>
      <c r="B7" s="10" t="inlineStr">
        <is>
          <t>USB-C Multiport Hub</t>
        </is>
      </c>
      <c r="C7" s="10" t="inlineStr">
        <is>
          <t>Accessories</t>
        </is>
      </c>
      <c r="D7" s="10" t="n">
        <v>17</v>
      </c>
      <c r="E7" s="10" t="n">
        <v>147</v>
      </c>
      <c r="F7" s="11" t="n">
        <v>288235.81</v>
      </c>
      <c r="G7" s="11" t="n">
        <v>169050</v>
      </c>
      <c r="H7" s="11" t="n">
        <v>119185.81</v>
      </c>
      <c r="I7" s="12" t="n">
        <v>0.4135</v>
      </c>
    </row>
    <row r="8">
      <c r="A8" s="10" t="inlineStr">
        <is>
          <t>P107</t>
        </is>
      </c>
      <c r="B8" s="10" t="inlineStr">
        <is>
          <t>Bookshelf Cabinet</t>
        </is>
      </c>
      <c r="C8" s="10" t="inlineStr">
        <is>
          <t>Furniture</t>
        </is>
      </c>
      <c r="D8" s="10" t="n">
        <v>25</v>
      </c>
      <c r="E8" s="10" t="n">
        <v>62</v>
      </c>
      <c r="F8" s="11" t="n">
        <v>361700.5</v>
      </c>
      <c r="G8" s="11" t="n">
        <v>254200</v>
      </c>
      <c r="H8" s="11" t="n">
        <v>107500.5</v>
      </c>
      <c r="I8" s="12" t="n">
        <v>0.2972</v>
      </c>
    </row>
    <row r="9">
      <c r="A9" s="10" t="inlineStr">
        <is>
          <t>P114</t>
        </is>
      </c>
      <c r="B9" s="10" t="inlineStr">
        <is>
          <t>Webcam 1080p HD</t>
        </is>
      </c>
      <c r="C9" s="10" t="inlineStr">
        <is>
          <t>Accessories</t>
        </is>
      </c>
      <c r="D9" s="10" t="n">
        <v>15</v>
      </c>
      <c r="E9" s="10" t="n">
        <v>101</v>
      </c>
      <c r="F9" s="11" t="n">
        <v>245784</v>
      </c>
      <c r="G9" s="11" t="n">
        <v>146450</v>
      </c>
      <c r="H9" s="11" t="n">
        <v>99334</v>
      </c>
      <c r="I9" s="12" t="n">
        <v>0.4042</v>
      </c>
    </row>
    <row r="10">
      <c r="A10" s="10" t="inlineStr">
        <is>
          <t>P108</t>
        </is>
      </c>
      <c r="B10" s="10" t="inlineStr">
        <is>
          <t>Executive Desk Lamp</t>
        </is>
      </c>
      <c r="C10" s="10" t="inlineStr">
        <is>
          <t>Furniture</t>
        </is>
      </c>
      <c r="D10" s="10" t="n">
        <v>20</v>
      </c>
      <c r="E10" s="10" t="n">
        <v>86</v>
      </c>
      <c r="F10" s="11" t="n">
        <v>126800.41</v>
      </c>
      <c r="G10" s="11" t="n">
        <v>73100</v>
      </c>
      <c r="H10" s="11" t="n">
        <v>53700.41</v>
      </c>
      <c r="I10" s="12" t="n">
        <v>0.4235</v>
      </c>
    </row>
    <row r="11">
      <c r="A11" s="10" t="inlineStr">
        <is>
          <t>P111</t>
        </is>
      </c>
      <c r="B11" s="10" t="inlineStr">
        <is>
          <t>Desk Organizer Tray</t>
        </is>
      </c>
      <c r="C11" s="10" t="inlineStr">
        <is>
          <t>Office Supplies</t>
        </is>
      </c>
      <c r="D11" s="10" t="n">
        <v>22</v>
      </c>
      <c r="E11" s="10" t="n">
        <v>191</v>
      </c>
      <c r="F11" s="11" t="n">
        <v>89870.39999999999</v>
      </c>
      <c r="G11" s="11" t="n">
        <v>49660</v>
      </c>
      <c r="H11" s="11" t="n">
        <v>40210.4</v>
      </c>
      <c r="I11" s="12" t="n">
        <v>0.4474</v>
      </c>
    </row>
    <row r="12">
      <c r="A12" s="10" t="inlineStr">
        <is>
          <t>P102</t>
        </is>
      </c>
      <c r="B12" s="10" t="inlineStr">
        <is>
          <t>Wireless Mouse</t>
        </is>
      </c>
      <c r="C12" s="10" t="inlineStr">
        <is>
          <t>Electronics</t>
        </is>
      </c>
      <c r="D12" s="10" t="n">
        <v>22</v>
      </c>
      <c r="E12" s="10" t="n">
        <v>113</v>
      </c>
      <c r="F12" s="11" t="n">
        <v>83242.5</v>
      </c>
      <c r="G12" s="11" t="n">
        <v>47460</v>
      </c>
      <c r="H12" s="11" t="n">
        <v>35782.5</v>
      </c>
      <c r="I12" s="12" t="n">
        <v>0.4299</v>
      </c>
    </row>
    <row r="13">
      <c r="A13" s="10" t="inlineStr">
        <is>
          <t>P103</t>
        </is>
      </c>
      <c r="B13" s="10" t="inlineStr">
        <is>
          <t>Mechanical Keyboard</t>
        </is>
      </c>
      <c r="C13" s="10" t="inlineStr">
        <is>
          <t>Electronics</t>
        </is>
      </c>
      <c r="D13" s="10" t="n">
        <v>11</v>
      </c>
      <c r="E13" s="10" t="n">
        <v>30</v>
      </c>
      <c r="F13" s="11" t="n">
        <v>82600</v>
      </c>
      <c r="G13" s="11" t="n">
        <v>55500</v>
      </c>
      <c r="H13" s="11" t="n">
        <v>27100</v>
      </c>
      <c r="I13" s="12" t="n">
        <v>0.3281</v>
      </c>
    </row>
    <row r="14">
      <c r="A14" s="10" t="inlineStr">
        <is>
          <t>P109</t>
        </is>
      </c>
      <c r="B14" s="10" t="inlineStr">
        <is>
          <t>Gel Pen Pack (10x)</t>
        </is>
      </c>
      <c r="C14" s="10" t="inlineStr">
        <is>
          <t>Office Supplies</t>
        </is>
      </c>
      <c r="D14" s="10" t="n">
        <v>17</v>
      </c>
      <c r="E14" s="10" t="n">
        <v>130</v>
      </c>
      <c r="F14" s="11" t="n">
        <v>30914.4</v>
      </c>
      <c r="G14" s="11" t="n">
        <v>14300</v>
      </c>
      <c r="H14" s="11" t="n">
        <v>16614.4</v>
      </c>
      <c r="I14" s="12" t="n">
        <v>0.5374</v>
      </c>
    </row>
    <row r="15">
      <c r="A15" s="10" t="inlineStr">
        <is>
          <t>P110</t>
        </is>
      </c>
      <c r="B15" s="10" t="inlineStr">
        <is>
          <t>A4 Copier Paper (500s)</t>
        </is>
      </c>
      <c r="C15" s="10" t="inlineStr">
        <is>
          <t>Office Supplies</t>
        </is>
      </c>
      <c r="D15" s="10" t="n">
        <v>21</v>
      </c>
      <c r="E15" s="10" t="n">
        <v>113</v>
      </c>
      <c r="F15" s="11" t="n">
        <v>35948.8</v>
      </c>
      <c r="G15" s="11" t="n">
        <v>21470</v>
      </c>
      <c r="H15" s="11" t="n">
        <v>14478.8</v>
      </c>
      <c r="I15" s="12" t="n">
        <v>0.4028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21" customWidth="1" min="4" max="4"/>
    <col width="15" customWidth="1" min="5" max="5"/>
    <col width="18" customWidth="1" min="6" max="6"/>
    <col width="13" customWidth="1" min="7" max="7"/>
  </cols>
  <sheetData>
    <row r="1">
      <c r="A1" s="17" t="inlineStr">
        <is>
          <t>Category</t>
        </is>
      </c>
      <c r="B1" s="17" t="inlineStr">
        <is>
          <t>Orders</t>
        </is>
      </c>
      <c r="C1" s="17" t="inlineStr">
        <is>
          <t>Units Sold</t>
        </is>
      </c>
      <c r="D1" s="17" t="inlineStr">
        <is>
          <t>Revenue (INR)</t>
        </is>
      </c>
      <c r="E1" s="17" t="inlineStr">
        <is>
          <t>Profit (INR)</t>
        </is>
      </c>
      <c r="F1" s="17" t="inlineStr">
        <is>
          <t>Profit Margin %</t>
        </is>
      </c>
    </row>
    <row r="2">
      <c r="A2" s="10" t="inlineStr">
        <is>
          <t>Electronics</t>
        </is>
      </c>
      <c r="B2" s="10" t="n">
        <v>86</v>
      </c>
      <c r="C2" s="10" t="n">
        <v>275</v>
      </c>
      <c r="D2" s="11" t="n">
        <v>3108427.13</v>
      </c>
      <c r="E2" s="11" t="n">
        <v>2441160</v>
      </c>
      <c r="F2" s="11" t="n">
        <v>667267.13</v>
      </c>
      <c r="G2" t="n">
        <v>0.2147</v>
      </c>
    </row>
    <row r="3">
      <c r="A3" s="10" t="inlineStr">
        <is>
          <t>Furniture</t>
        </is>
      </c>
      <c r="B3" s="10" t="n">
        <v>95</v>
      </c>
      <c r="C3" s="10" t="n">
        <v>282</v>
      </c>
      <c r="D3" s="11" t="n">
        <v>2299235.76</v>
      </c>
      <c r="E3" s="11" t="n">
        <v>1569100</v>
      </c>
      <c r="F3" s="11" t="n">
        <v>730135.76</v>
      </c>
      <c r="G3" t="n">
        <v>0.3176</v>
      </c>
    </row>
    <row r="4">
      <c r="A4" s="10" t="inlineStr">
        <is>
          <t>Accessories</t>
        </is>
      </c>
      <c r="B4" s="10" t="n">
        <v>59</v>
      </c>
      <c r="C4" s="10" t="n">
        <v>445</v>
      </c>
      <c r="D4" s="11" t="n">
        <v>844817.4399999999</v>
      </c>
      <c r="E4" s="11" t="n">
        <v>477040</v>
      </c>
      <c r="F4" s="11" t="n">
        <v>367777.44</v>
      </c>
      <c r="G4" t="n">
        <v>0.4353</v>
      </c>
    </row>
    <row r="5">
      <c r="A5" s="10" t="inlineStr">
        <is>
          <t>Office Supplies</t>
        </is>
      </c>
      <c r="B5" s="10" t="n">
        <v>60</v>
      </c>
      <c r="C5" s="10" t="n">
        <v>434</v>
      </c>
      <c r="D5" s="11" t="n">
        <v>156733.6</v>
      </c>
      <c r="E5" s="11" t="n">
        <v>85430</v>
      </c>
      <c r="F5" s="11" t="n">
        <v>71303.60000000001</v>
      </c>
      <c r="G5" t="n">
        <v>0.4549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0" customWidth="1" min="5" max="5"/>
    <col width="13" customWidth="1" min="6" max="6"/>
    <col width="21" customWidth="1" min="7" max="7"/>
    <col width="22" customWidth="1" min="8" max="8"/>
  </cols>
  <sheetData>
    <row r="1">
      <c r="A1" s="17" t="inlineStr">
        <is>
          <t>Year-Month</t>
        </is>
      </c>
      <c r="B1" s="17" t="inlineStr">
        <is>
          <t>Month</t>
        </is>
      </c>
      <c r="C1" s="17" t="inlineStr">
        <is>
          <t>Orders</t>
        </is>
      </c>
      <c r="D1" s="17" t="inlineStr">
        <is>
          <t>Units Sold</t>
        </is>
      </c>
      <c r="E1" s="17" t="inlineStr">
        <is>
          <t>Revenue</t>
        </is>
      </c>
      <c r="F1" s="17" t="inlineStr">
        <is>
          <t>Total Cost</t>
        </is>
      </c>
      <c r="G1" s="17" t="inlineStr">
        <is>
          <t>Profit</t>
        </is>
      </c>
      <c r="H1" s="17" t="inlineStr">
        <is>
          <t>Profit Margin</t>
        </is>
      </c>
    </row>
    <row r="2">
      <c r="A2" s="10" t="inlineStr">
        <is>
          <t>2024-01</t>
        </is>
      </c>
      <c r="B2" s="10" t="inlineStr">
        <is>
          <t>Jan</t>
        </is>
      </c>
      <c r="C2" s="10" t="n">
        <v>21</v>
      </c>
      <c r="D2" s="10" t="n">
        <v>92</v>
      </c>
      <c r="E2" s="11" t="n">
        <v>726906.6800000001</v>
      </c>
      <c r="F2" s="11" t="n">
        <v>550000</v>
      </c>
      <c r="G2" s="11" t="n">
        <v>176906.68</v>
      </c>
      <c r="H2" s="12" t="n">
        <v>0.2434</v>
      </c>
    </row>
    <row r="3">
      <c r="A3" s="10" t="inlineStr">
        <is>
          <t>2024-02</t>
        </is>
      </c>
      <c r="B3" s="10" t="inlineStr">
        <is>
          <t>Feb</t>
        </is>
      </c>
      <c r="C3" s="10" t="n">
        <v>30</v>
      </c>
      <c r="D3" s="10" t="n">
        <v>131</v>
      </c>
      <c r="E3" s="11" t="n">
        <v>490139.86</v>
      </c>
      <c r="F3" s="11" t="n">
        <v>326770</v>
      </c>
      <c r="G3" s="11" t="n">
        <v>163369.86</v>
      </c>
      <c r="H3" s="12" t="n">
        <v>0.3333</v>
      </c>
    </row>
    <row r="4">
      <c r="A4" s="10" t="inlineStr">
        <is>
          <t>2024-03</t>
        </is>
      </c>
      <c r="B4" s="10" t="inlineStr">
        <is>
          <t>Mar</t>
        </is>
      </c>
      <c r="C4" s="10" t="n">
        <v>24</v>
      </c>
      <c r="D4" s="10" t="n">
        <v>120</v>
      </c>
      <c r="E4" s="11" t="n">
        <v>605557.5599999999</v>
      </c>
      <c r="F4" s="11" t="n">
        <v>443910</v>
      </c>
      <c r="G4" s="11" t="n">
        <v>161647.56</v>
      </c>
      <c r="H4" s="12" t="n">
        <v>0.2669</v>
      </c>
    </row>
    <row r="5">
      <c r="A5" s="10" t="inlineStr">
        <is>
          <t>2024-04</t>
        </is>
      </c>
      <c r="B5" s="10" t="inlineStr">
        <is>
          <t>Apr</t>
        </is>
      </c>
      <c r="C5" s="10" t="n">
        <v>21</v>
      </c>
      <c r="D5" s="10" t="n">
        <v>120</v>
      </c>
      <c r="E5" s="11" t="n">
        <v>267354.66</v>
      </c>
      <c r="F5" s="11" t="n">
        <v>179840</v>
      </c>
      <c r="G5" s="11" t="n">
        <v>87514.66</v>
      </c>
      <c r="H5" s="12" t="n">
        <v>0.3273</v>
      </c>
    </row>
    <row r="6">
      <c r="A6" s="10" t="inlineStr">
        <is>
          <t>2024-05</t>
        </is>
      </c>
      <c r="B6" s="10" t="inlineStr">
        <is>
          <t>May</t>
        </is>
      </c>
      <c r="C6" s="10" t="n">
        <v>24</v>
      </c>
      <c r="D6" s="10" t="n">
        <v>125</v>
      </c>
      <c r="E6" s="11" t="n">
        <v>341937.59</v>
      </c>
      <c r="F6" s="11" t="n">
        <v>222910</v>
      </c>
      <c r="G6" s="11" t="n">
        <v>119027.59</v>
      </c>
      <c r="H6" s="12" t="n">
        <v>0.3481</v>
      </c>
    </row>
    <row r="7">
      <c r="A7" s="10" t="inlineStr">
        <is>
          <t>2024-06</t>
        </is>
      </c>
      <c r="B7" s="10" t="inlineStr">
        <is>
          <t>Jun</t>
        </is>
      </c>
      <c r="C7" s="10" t="n">
        <v>17</v>
      </c>
      <c r="D7" s="10" t="n">
        <v>67</v>
      </c>
      <c r="E7" s="11" t="n">
        <v>289291.05</v>
      </c>
      <c r="F7" s="11" t="n">
        <v>214810</v>
      </c>
      <c r="G7" s="11" t="n">
        <v>74481.05</v>
      </c>
      <c r="H7" s="12" t="n">
        <v>0.2575</v>
      </c>
    </row>
    <row r="8">
      <c r="A8" s="10" t="inlineStr">
        <is>
          <t>2024-07</t>
        </is>
      </c>
      <c r="B8" s="10" t="inlineStr">
        <is>
          <t>Jul</t>
        </is>
      </c>
      <c r="C8" s="10" t="n">
        <v>23</v>
      </c>
      <c r="D8" s="10" t="n">
        <v>100</v>
      </c>
      <c r="E8" s="11" t="n">
        <v>684667.73</v>
      </c>
      <c r="F8" s="11" t="n">
        <v>495400</v>
      </c>
      <c r="G8" s="11" t="n">
        <v>189267.73</v>
      </c>
      <c r="H8" s="12" t="n">
        <v>0.2764</v>
      </c>
    </row>
    <row r="9">
      <c r="A9" s="10" t="inlineStr">
        <is>
          <t>2024-08</t>
        </is>
      </c>
      <c r="B9" s="10" t="inlineStr">
        <is>
          <t>Aug</t>
        </is>
      </c>
      <c r="C9" s="10" t="n">
        <v>35</v>
      </c>
      <c r="D9" s="10" t="n">
        <v>166</v>
      </c>
      <c r="E9" s="11" t="n">
        <v>521126.96</v>
      </c>
      <c r="F9" s="11" t="n">
        <v>346470</v>
      </c>
      <c r="G9" s="11" t="n">
        <v>174656.96</v>
      </c>
      <c r="H9" s="12" t="n">
        <v>0.3352000000000001</v>
      </c>
    </row>
    <row r="10">
      <c r="A10" s="10" t="inlineStr">
        <is>
          <t>2024-09</t>
        </is>
      </c>
      <c r="B10" s="10" t="inlineStr">
        <is>
          <t>Sep</t>
        </is>
      </c>
      <c r="C10" s="10" t="n">
        <v>24</v>
      </c>
      <c r="D10" s="10" t="n">
        <v>114</v>
      </c>
      <c r="E10" s="11" t="n">
        <v>300844.35</v>
      </c>
      <c r="F10" s="11" t="n">
        <v>191540</v>
      </c>
      <c r="G10" s="11" t="n">
        <v>109304.35</v>
      </c>
      <c r="H10" s="12" t="n">
        <v>0.3633</v>
      </c>
    </row>
    <row r="11">
      <c r="A11" s="10" t="inlineStr">
        <is>
          <t>2024-10</t>
        </is>
      </c>
      <c r="B11" s="10" t="inlineStr">
        <is>
          <t>Oct</t>
        </is>
      </c>
      <c r="C11" s="10" t="n">
        <v>30</v>
      </c>
      <c r="D11" s="10" t="n">
        <v>125</v>
      </c>
      <c r="E11" s="11" t="n">
        <v>1125051.77</v>
      </c>
      <c r="F11" s="11" t="n">
        <v>829690</v>
      </c>
      <c r="G11" s="11" t="n">
        <v>295361.77</v>
      </c>
      <c r="H11" s="12" t="n">
        <v>0.2625</v>
      </c>
    </row>
    <row r="12">
      <c r="A12" s="10" t="inlineStr">
        <is>
          <t>2024-11</t>
        </is>
      </c>
      <c r="B12" s="10" t="inlineStr">
        <is>
          <t>Nov</t>
        </is>
      </c>
      <c r="C12" s="10" t="n">
        <v>22</v>
      </c>
      <c r="D12" s="10" t="n">
        <v>141</v>
      </c>
      <c r="E12" s="11" t="n">
        <v>464508.56</v>
      </c>
      <c r="F12" s="11" t="n">
        <v>344540</v>
      </c>
      <c r="G12" s="11" t="n">
        <v>119968.56</v>
      </c>
      <c r="H12" s="12" t="n">
        <v>0.2583</v>
      </c>
    </row>
    <row r="13">
      <c r="A13" s="10" t="inlineStr">
        <is>
          <t>2024-12</t>
        </is>
      </c>
      <c r="B13" s="10" t="inlineStr">
        <is>
          <t>Dec</t>
        </is>
      </c>
      <c r="C13" s="10" t="n">
        <v>29</v>
      </c>
      <c r="D13" s="10" t="n">
        <v>135</v>
      </c>
      <c r="E13" s="11" t="n">
        <v>591827.16</v>
      </c>
      <c r="F13" s="11" t="n">
        <v>426850</v>
      </c>
      <c r="G13" s="11" t="n">
        <v>164977.16</v>
      </c>
      <c r="H13" s="12" t="n">
        <v>0.2788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1" customWidth="1" min="4" max="4"/>
    <col width="15" customWidth="1" min="5" max="5"/>
    <col width="18" customWidth="1" min="6" max="6"/>
    <col width="22" customWidth="1" min="7" max="7"/>
  </cols>
  <sheetData>
    <row r="1">
      <c r="A1" s="17" t="inlineStr">
        <is>
          <t>Region</t>
        </is>
      </c>
      <c r="B1" s="17" t="inlineStr">
        <is>
          <t>Orders</t>
        </is>
      </c>
      <c r="C1" s="17" t="inlineStr">
        <is>
          <t>Units Sold</t>
        </is>
      </c>
      <c r="D1" s="17" t="inlineStr">
        <is>
          <t>Revenue (INR)</t>
        </is>
      </c>
      <c r="E1" s="17" t="inlineStr">
        <is>
          <t>Profit (INR)</t>
        </is>
      </c>
      <c r="F1" s="17" t="inlineStr">
        <is>
          <t>Profit Margin %</t>
        </is>
      </c>
    </row>
    <row r="2">
      <c r="A2" s="10" t="inlineStr">
        <is>
          <t>North</t>
        </is>
      </c>
      <c r="B2" s="10" t="n">
        <v>88</v>
      </c>
      <c r="C2" s="10" t="n">
        <v>431</v>
      </c>
      <c r="D2" s="11" t="n">
        <v>1962170.62</v>
      </c>
      <c r="E2" s="11" t="n">
        <v>1436490</v>
      </c>
      <c r="F2" s="11" t="n">
        <v>525680.62</v>
      </c>
      <c r="G2" t="n">
        <v>0.2679</v>
      </c>
    </row>
    <row r="3">
      <c r="A3" s="10" t="inlineStr">
        <is>
          <t>South</t>
        </is>
      </c>
      <c r="B3" s="10" t="n">
        <v>73</v>
      </c>
      <c r="C3" s="10" t="n">
        <v>382</v>
      </c>
      <c r="D3" s="11" t="n">
        <v>1508393.71</v>
      </c>
      <c r="E3" s="11" t="n">
        <v>1049810</v>
      </c>
      <c r="F3" s="11" t="n">
        <v>458583.71</v>
      </c>
      <c r="G3" t="n">
        <v>0.304</v>
      </c>
    </row>
    <row r="4">
      <c r="A4" s="10" t="inlineStr">
        <is>
          <t>West</t>
        </is>
      </c>
      <c r="B4" s="10" t="n">
        <v>64</v>
      </c>
      <c r="C4" s="10" t="n">
        <v>283</v>
      </c>
      <c r="D4" s="11" t="n">
        <v>1440567.01</v>
      </c>
      <c r="E4" s="11" t="n">
        <v>1013230</v>
      </c>
      <c r="F4" s="11" t="n">
        <v>427337.01</v>
      </c>
      <c r="G4" t="n">
        <v>0.2966</v>
      </c>
    </row>
    <row r="5">
      <c r="A5" s="10" t="inlineStr">
        <is>
          <t>East</t>
        </is>
      </c>
      <c r="B5" s="10" t="n">
        <v>49</v>
      </c>
      <c r="C5" s="10" t="n">
        <v>211</v>
      </c>
      <c r="D5" s="11" t="n">
        <v>1089556.36</v>
      </c>
      <c r="E5" s="11" t="n">
        <v>783860</v>
      </c>
      <c r="F5" s="11" t="n">
        <v>305696.36</v>
      </c>
      <c r="G5" t="n">
        <v>0.2806</v>
      </c>
    </row>
    <row r="6">
      <c r="A6" s="10" t="inlineStr">
        <is>
          <t>Central</t>
        </is>
      </c>
      <c r="B6" s="10" t="n">
        <v>26</v>
      </c>
      <c r="C6" s="10" t="n">
        <v>129</v>
      </c>
      <c r="D6" s="11" t="n">
        <v>408526.23</v>
      </c>
      <c r="E6" s="11" t="n">
        <v>289340</v>
      </c>
      <c r="F6" s="11" t="n">
        <v>119186.23</v>
      </c>
      <c r="G6" t="n">
        <v>0.2917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2026-10-15T17:19:16Z</dcterms:created>
  <dcterms:modified xmlns:dcterms="http://purl.org/dc/terms/" xmlns:xsi="http://www.w3.org/2001/XMLSchema-instance" xsi:type="dcterms:W3CDTF">2026-10-15T17:19:16Z</dcterms:modified>
</cp:coreProperties>
</file>